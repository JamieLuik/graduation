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TU Delft\IDEM2000 Graduation\3 - Develop\"/>
    </mc:Choice>
  </mc:AlternateContent>
  <xr:revisionPtr revIDLastSave="0" documentId="13_ncr:1_{4376A5BF-C5F6-4283-B869-DB8DA160AA68}" xr6:coauthVersionLast="47" xr6:coauthVersionMax="47" xr10:uidLastSave="{00000000-0000-0000-0000-000000000000}"/>
  <bookViews>
    <workbookView xWindow="-110" yWindow="-110" windowWidth="38620" windowHeight="21220" activeTab="1" xr2:uid="{20985D54-D211-4E91-B08D-9BA60DF09546}"/>
  </bookViews>
  <sheets>
    <sheet name="Preliminary Ranking" sheetId="1" r:id="rId1"/>
    <sheet name="Overview Preliminary Ran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U35" i="1" l="1"/>
  <c r="BU30" i="1"/>
  <c r="BU25" i="1"/>
  <c r="BU20" i="1"/>
  <c r="BU15" i="1"/>
  <c r="BU10" i="1"/>
  <c r="BU5" i="1"/>
  <c r="BR35" i="1"/>
  <c r="BR30" i="1"/>
  <c r="BR25" i="1"/>
  <c r="BR20" i="1"/>
  <c r="BR15" i="1"/>
  <c r="BR10" i="1"/>
  <c r="BR5" i="1"/>
  <c r="BO35" i="1"/>
  <c r="BO30" i="1"/>
  <c r="BO25" i="1"/>
  <c r="BO20" i="1"/>
  <c r="BO15" i="1"/>
  <c r="BO10" i="1"/>
  <c r="BO5" i="1"/>
  <c r="BL35" i="1"/>
  <c r="BL30" i="1"/>
  <c r="BL25" i="1"/>
  <c r="BL20" i="1"/>
  <c r="BL15" i="1"/>
  <c r="BL10" i="1"/>
  <c r="BL5" i="1"/>
  <c r="BI35" i="1"/>
  <c r="BI30" i="1"/>
  <c r="BI25" i="1"/>
  <c r="BI20" i="1"/>
  <c r="BI15" i="1"/>
  <c r="BI10" i="1"/>
  <c r="BI5" i="1"/>
  <c r="BF35" i="1"/>
  <c r="BF30" i="1"/>
  <c r="BF25" i="1"/>
  <c r="BF20" i="1"/>
  <c r="BF15" i="1"/>
  <c r="BF10" i="1"/>
  <c r="BF5" i="1"/>
  <c r="BC35" i="1"/>
  <c r="BC30" i="1"/>
  <c r="BC25" i="1"/>
  <c r="BC20" i="1"/>
  <c r="BC15" i="1"/>
  <c r="BC10" i="1"/>
  <c r="BC5" i="1"/>
  <c r="AZ35" i="1"/>
  <c r="AZ30" i="1"/>
  <c r="AZ25" i="1"/>
  <c r="AZ20" i="1"/>
  <c r="AZ15" i="1"/>
  <c r="AZ10" i="1"/>
  <c r="AZ5" i="1"/>
  <c r="AW35" i="1"/>
  <c r="AW30" i="1"/>
  <c r="AW25" i="1"/>
  <c r="AW20" i="1"/>
  <c r="AW15" i="1"/>
  <c r="AW10" i="1"/>
  <c r="AW5" i="1"/>
  <c r="AT35" i="1"/>
  <c r="AT30" i="1"/>
  <c r="AT25" i="1"/>
  <c r="AT20" i="1"/>
  <c r="AT15" i="1"/>
  <c r="AT10" i="1"/>
  <c r="AT5" i="1"/>
  <c r="AQ35" i="1"/>
  <c r="AQ30" i="1"/>
  <c r="AQ25" i="1"/>
  <c r="AQ20" i="1"/>
  <c r="AQ15" i="1"/>
  <c r="AQ10" i="1"/>
  <c r="AQ5" i="1"/>
  <c r="AN35" i="1"/>
  <c r="AN30" i="1"/>
  <c r="AN25" i="1"/>
  <c r="AN20" i="1"/>
  <c r="AN15" i="1"/>
  <c r="AN10" i="1"/>
  <c r="AN5" i="1"/>
  <c r="AK35" i="1"/>
  <c r="AK30" i="1"/>
  <c r="AK25" i="1"/>
  <c r="AK20" i="1"/>
  <c r="AK15" i="1"/>
  <c r="AK10" i="1"/>
  <c r="AK5" i="1"/>
  <c r="AH35" i="1"/>
  <c r="AH30" i="1"/>
  <c r="AH25" i="1"/>
  <c r="AH20" i="1"/>
  <c r="AH15" i="1"/>
  <c r="AH10" i="1"/>
  <c r="AH5" i="1"/>
  <c r="AE35" i="1"/>
  <c r="AE30" i="1"/>
  <c r="AE25" i="1"/>
  <c r="AE20" i="1"/>
  <c r="AE15" i="1"/>
  <c r="AE10" i="1"/>
  <c r="AE5" i="1"/>
  <c r="AB35" i="1"/>
  <c r="AB30" i="1"/>
  <c r="AB25" i="1"/>
  <c r="AB20" i="1"/>
  <c r="AB15" i="1"/>
  <c r="AB10" i="1"/>
  <c r="AB5" i="1"/>
  <c r="Y35" i="1"/>
  <c r="Y30" i="1"/>
  <c r="Y25" i="1"/>
  <c r="Y20" i="1"/>
  <c r="Y15" i="1"/>
  <c r="Y10" i="1"/>
  <c r="Y5" i="1"/>
  <c r="V35" i="1"/>
  <c r="V30" i="1"/>
  <c r="V25" i="1"/>
  <c r="V20" i="1"/>
  <c r="V15" i="1"/>
  <c r="V10" i="1"/>
  <c r="V5" i="1"/>
  <c r="S35" i="1"/>
  <c r="S30" i="1"/>
  <c r="S25" i="1"/>
  <c r="S20" i="1"/>
  <c r="S15" i="1"/>
  <c r="S10" i="1"/>
  <c r="S5" i="1"/>
  <c r="P35" i="1"/>
  <c r="P30" i="1"/>
  <c r="P25" i="1"/>
  <c r="P20" i="1"/>
  <c r="P15" i="1"/>
  <c r="P10" i="1"/>
  <c r="P5" i="1"/>
  <c r="M35" i="1"/>
  <c r="M30" i="1"/>
  <c r="M25" i="1"/>
  <c r="M20" i="1"/>
  <c r="M15" i="1"/>
  <c r="M10" i="1"/>
  <c r="M5" i="1"/>
  <c r="J35" i="1"/>
  <c r="J30" i="1"/>
  <c r="J25" i="1"/>
  <c r="J20" i="1"/>
  <c r="J15" i="1"/>
  <c r="J10" i="1"/>
  <c r="J5" i="1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P40" i="1" l="1"/>
  <c r="C5" i="2" s="1"/>
  <c r="J40" i="1"/>
  <c r="C3" i="2" s="1"/>
  <c r="M40" i="1"/>
  <c r="C4" i="2" s="1"/>
  <c r="S40" i="1" l="1"/>
  <c r="C6" i="2" s="1"/>
  <c r="V40" i="1" l="1"/>
  <c r="C7" i="2" s="1"/>
  <c r="Y40" i="1" l="1"/>
  <c r="C8" i="2" s="1"/>
  <c r="AB40" i="1" l="1"/>
  <c r="C9" i="2" s="1"/>
  <c r="AE40" i="1" l="1"/>
  <c r="C10" i="2" s="1"/>
  <c r="AH40" i="1" l="1"/>
  <c r="C11" i="2" s="1"/>
  <c r="AK40" i="1" l="1"/>
  <c r="C12" i="2" s="1"/>
  <c r="AN40" i="1" l="1"/>
  <c r="C13" i="2" s="1"/>
  <c r="AQ40" i="1" l="1"/>
  <c r="C14" i="2" s="1"/>
  <c r="AT40" i="1" l="1"/>
  <c r="C15" i="2" s="1"/>
  <c r="AW40" i="1" l="1"/>
  <c r="C16" i="2" s="1"/>
  <c r="AZ40" i="1" l="1"/>
  <c r="C17" i="2" s="1"/>
  <c r="BC40" i="1" l="1"/>
  <c r="C18" i="2" s="1"/>
  <c r="BF40" i="1" l="1"/>
  <c r="C19" i="2" s="1"/>
  <c r="BI40" i="1" l="1"/>
  <c r="C20" i="2" s="1"/>
  <c r="BL40" i="1" l="1"/>
  <c r="C21" i="2" s="1"/>
  <c r="BO40" i="1" l="1"/>
  <c r="C22" i="2" s="1"/>
  <c r="BR40" i="1" l="1"/>
  <c r="C23" i="2" s="1"/>
  <c r="BU40" i="1"/>
  <c r="C24" i="2" s="1"/>
  <c r="D23" i="2" l="1"/>
  <c r="D24" i="2"/>
  <c r="D3" i="2"/>
  <c r="D6" i="2"/>
  <c r="D4" i="2"/>
  <c r="D5" i="2"/>
  <c r="D7" i="2"/>
  <c r="D8" i="2"/>
  <c r="D9" i="2"/>
  <c r="D10" i="2"/>
  <c r="D11" i="2"/>
  <c r="D12" i="2"/>
  <c r="D13" i="2"/>
  <c r="D14" i="2"/>
  <c r="D15" i="2"/>
  <c r="D16" i="2"/>
  <c r="D17" i="2"/>
  <c r="D18" i="2"/>
  <c r="D20" i="2"/>
  <c r="D21" i="2"/>
  <c r="D22" i="2"/>
  <c r="D19" i="2"/>
  <c r="H3" i="2" l="1" a="1"/>
  <c r="H3" i="2" s="1"/>
  <c r="F3" i="2" a="1"/>
  <c r="F3" i="2" s="1"/>
  <c r="G3" i="2" a="1"/>
  <c r="G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<sst xmlns="http://schemas.openxmlformats.org/spreadsheetml/2006/main" count="151" uniqueCount="105">
  <si>
    <t>No.</t>
  </si>
  <si>
    <t>Element</t>
  </si>
  <si>
    <t>Weight</t>
  </si>
  <si>
    <t>Scoring</t>
  </si>
  <si>
    <t>Rationale</t>
  </si>
  <si>
    <t>Reading Performance</t>
  </si>
  <si>
    <t>System Robustness</t>
  </si>
  <si>
    <t>Integration Complexity</t>
  </si>
  <si>
    <t>Remanufacturing Effort</t>
  </si>
  <si>
    <t>Maintenance Demand</t>
  </si>
  <si>
    <t>Production Cost</t>
  </si>
  <si>
    <t>Material Impact</t>
  </si>
  <si>
    <t>Core objective; directly measures success of the redesign</t>
  </si>
  <si>
    <t>Prevents performance degradation in real-world conditions (dust, misalignment, pouch variability)</t>
  </si>
  <si>
    <t>High impact on feasibility and engineering effort; can block adoption</t>
  </si>
  <si>
    <t>Important for scaling and retrofitting installed base</t>
  </si>
  <si>
    <t>Drives operational cost and service burden over lifecycle</t>
  </si>
  <si>
    <t>Relevant but secondary to reliability in this context</t>
  </si>
  <si>
    <t>Low priority unless sustainability is explicitly targeted</t>
  </si>
  <si>
    <t>No measurable improvement or worse than baseline</t>
  </si>
  <si>
    <t>Major redesign (PCB + housing + architecture changes)</t>
  </si>
  <si>
    <t>Significant redesign (multiple subsystems affected)</t>
  </si>
  <si>
    <t>Moderate changes (mechanical or electrical, not both heavily)</t>
  </si>
  <si>
    <t>Minor changes (localized adjustments, no architecture impact)</t>
  </si>
  <si>
    <t>Plug-and-play or near drop-in replacement</t>
  </si>
  <si>
    <t>Not feasible to retrofit or requires full disassembly + specialized tooling</t>
  </si>
  <si>
    <t>Complex retrofit; time-consuming and tool-intensive</t>
  </si>
  <si>
    <t>High maintenance; frequent cleaning/intervention required</t>
  </si>
  <si>
    <t>Regular maintenance needed to maintain performance</t>
  </si>
  <si>
    <t>Occasional maintenance required</t>
  </si>
  <si>
    <t>Low maintenance; infrequent intervention</t>
  </si>
  <si>
    <t>Significant cost increase (&gt;20% BOM increase)</t>
  </si>
  <si>
    <t>Moderate cost increase (≈10–20%)</t>
  </si>
  <si>
    <t>Slight cost increase (≈5–10%)</t>
  </si>
  <si>
    <t>Cost-neutral or negligible increase (&lt;5%)</t>
  </si>
  <si>
    <t>Cost reduction compared to current design</t>
  </si>
  <si>
    <t>Significant increase in material use and/or use of complex/non-recyclable materials</t>
  </si>
  <si>
    <t>Moderate increase in material use or less favorable material types</t>
  </si>
  <si>
    <t>Neutral impact (similar material use and types)</t>
  </si>
  <si>
    <t>Reduced material use or improved material selection</t>
  </si>
  <si>
    <t>Significant reduction in material use and/or clearly more sustainable materials</t>
  </si>
  <si>
    <t>Minor improvement (&lt;10% increase in successful reads)</t>
  </si>
  <si>
    <t>Moderate improvement (≈10–20%)</t>
  </si>
  <si>
    <t>Significant improvement (≈21–30%)</t>
  </si>
  <si>
    <t>Major improvement (&gt;30%) or near-elimination of read failures</t>
  </si>
  <si>
    <t>&gt;30% drop in read rate under any single test condition</t>
  </si>
  <si>
    <t>15–30% drop in read rate under one or more conditions</t>
  </si>
  <si>
    <t>5–15% drop; noticeable degradation but still functional</t>
  </si>
  <si>
    <t>&lt;5% drop across all conditions; stable performance</t>
  </si>
  <si>
    <t>&lt;2% drop AND no systematic failures in any condition</t>
  </si>
  <si>
    <t>Very low effort; simple, fast retrofit (&lt;5 min per unit)</t>
  </si>
  <si>
    <t>Low effort; quick modification or module swap (5-10 min per unit)</t>
  </si>
  <si>
    <t>Moderate effort; standard tools, partial disassembly required (10-15 min per unit)</t>
  </si>
  <si>
    <t>Minimal to no maintenance required over normal lifecycle (normal return cycle)</t>
  </si>
  <si>
    <t>Concept 1</t>
  </si>
  <si>
    <t>Score</t>
  </si>
  <si>
    <t>Value</t>
  </si>
  <si>
    <t>Concept 2</t>
  </si>
  <si>
    <t>Concept 3</t>
  </si>
  <si>
    <t>Concept 4</t>
  </si>
  <si>
    <t>Concept 5</t>
  </si>
  <si>
    <t>Concept 6</t>
  </si>
  <si>
    <t>Concept 7</t>
  </si>
  <si>
    <t>Concept 8</t>
  </si>
  <si>
    <t>Concept 9</t>
  </si>
  <si>
    <t>Concept 10</t>
  </si>
  <si>
    <t>Concept 11</t>
  </si>
  <si>
    <t>Concept 12</t>
  </si>
  <si>
    <t>Concept 13</t>
  </si>
  <si>
    <t>Concept 14</t>
  </si>
  <si>
    <t>Concept 15</t>
  </si>
  <si>
    <t>Concept 16</t>
  </si>
  <si>
    <t>Concept 17</t>
  </si>
  <si>
    <t>Concept 18</t>
  </si>
  <si>
    <t>Concept 19</t>
  </si>
  <si>
    <t>Concept 20</t>
  </si>
  <si>
    <t>Concept 21</t>
  </si>
  <si>
    <t>Title</t>
  </si>
  <si>
    <t>Number</t>
  </si>
  <si>
    <t>Concept 22</t>
  </si>
  <si>
    <t>Normalized Score</t>
  </si>
  <si>
    <t>Concepts</t>
  </si>
  <si>
    <t>Ranked Concepts</t>
  </si>
  <si>
    <t>Less Bright LED</t>
  </si>
  <si>
    <t>Extra Lighting</t>
  </si>
  <si>
    <t>ND/Polarization Filter</t>
  </si>
  <si>
    <t>Diffusion Filter in Front of LED</t>
  </si>
  <si>
    <t>Different LED Angle</t>
  </si>
  <si>
    <t>Ring Light Around Sensor Frame</t>
  </si>
  <si>
    <t>Internal Ribs to Break Scatter Light</t>
  </si>
  <si>
    <t>Black Coating on Internals</t>
  </si>
  <si>
    <t>Block Everything Outside FOV</t>
  </si>
  <si>
    <t>Periscope-style Enclosed Light Path</t>
  </si>
  <si>
    <t>Limit LED Beam Width</t>
  </si>
  <si>
    <t>New Barcode Scanner</t>
  </si>
  <si>
    <t>Different Positioning Scan Engine</t>
  </si>
  <si>
    <t>IR Lighting + Sensor</t>
  </si>
  <si>
    <t>Matte Mirror</t>
  </si>
  <si>
    <t>First-surface Mirror</t>
  </si>
  <si>
    <t>Different Mirror Position</t>
  </si>
  <si>
    <t>Curved Mirror</t>
  </si>
  <si>
    <t>Direct Line of Sight with Barcode</t>
  </si>
  <si>
    <t>Matte Sensor Frame</t>
  </si>
  <si>
    <t>Dirt/Glare Detection</t>
  </si>
  <si>
    <t>Machine Vision Barcode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</si>
</sst>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  <font>
      <i/>
      <sz val="11"/>
      <color theme="1"/>
      <name val="Inter"/>
    </font>
    <font>
      <sz val="11"/>
      <color theme="0" tint="-0.34998626667073579"/>
      <name val="Inte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2" fillId="2" borderId="2" xfId="0" applyFont="1" applyFill="1" applyBorder="1"/>
    <xf numFmtId="0" fontId="2" fillId="0" borderId="2" xfId="0" applyFont="1" applyBorder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7" xfId="0" applyFont="1" applyFill="1" applyBorder="1"/>
    <xf numFmtId="0" fontId="2" fillId="0" borderId="7" xfId="0" applyFont="1" applyBorder="1"/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center"/>
    </xf>
    <xf numFmtId="2" fontId="3" fillId="0" borderId="0" xfId="0" applyNumberFormat="1" applyFont="1"/>
    <xf numFmtId="2" fontId="2" fillId="0" borderId="0" xfId="0" applyNumberFormat="1" applyFont="1"/>
    <xf numFmtId="0" fontId="2" fillId="0" borderId="1" xfId="0" applyFont="1" applyBorder="1"/>
    <xf numFmtId="0" fontId="2" fillId="0" borderId="4" xfId="0" applyFont="1" applyBorder="1"/>
    <xf numFmtId="0" fontId="2" fillId="0" borderId="6" xfId="0" applyFont="1" applyBorder="1"/>
    <xf numFmtId="0" fontId="5" fillId="0" borderId="0" xfId="0" applyFont="1"/>
    <xf numFmtId="164" fontId="3" fillId="0" borderId="0" xfId="0" applyNumberFormat="1" applyFont="1"/>
    <xf numFmtId="164" fontId="2" fillId="0" borderId="3" xfId="0" applyNumberFormat="1" applyFont="1" applyBorder="1"/>
    <xf numFmtId="164" fontId="2" fillId="0" borderId="5" xfId="0" applyNumberFormat="1" applyFont="1" applyBorder="1"/>
    <xf numFmtId="164" fontId="2" fillId="0" borderId="8" xfId="0" applyNumberFormat="1" applyFont="1" applyBorder="1"/>
    <xf numFmtId="164" fontId="5" fillId="0" borderId="0" xfId="0" applyNumberFormat="1" applyFont="1"/>
    <xf numFmtId="164" fontId="2" fillId="0" borderId="0" xfId="0" applyNumberFormat="1" applyFont="1"/>
    <xf numFmtId="0" fontId="3" fillId="0" borderId="2" xfId="0" applyFont="1" applyBorder="1"/>
    <xf numFmtId="0" fontId="3" fillId="0" borderId="7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  <xf numFmtId="9" fontId="2" fillId="0" borderId="8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F59D-9581-49CC-A286-75F5EAD6E12A}">
  <sheetPr>
    <pageSetUpPr fitToPage="1"/>
  </sheetPr>
  <dimension ref="B1:BU40"/>
  <sheetViews>
    <sheetView zoomScaleNormal="100" workbookViewId="0">
      <pane xSplit="7" topLeftCell="H1" activePane="topRight" state="frozen"/>
      <selection pane="topRight" activeCell="F10" sqref="F10"/>
    </sheetView>
  </sheetViews>
  <sheetFormatPr defaultColWidth="9.140625" defaultRowHeight="18.75" x14ac:dyDescent="0.4"/>
  <cols>
    <col min="1" max="1" width="9.140625" style="2"/>
    <col min="2" max="2" width="9.140625" style="1"/>
    <col min="3" max="3" width="26.28515625" style="2" bestFit="1" customWidth="1"/>
    <col min="4" max="4" width="27.140625" style="14" customWidth="1"/>
    <col min="5" max="5" width="9.140625" style="2"/>
    <col min="6" max="6" width="88.85546875" style="2" customWidth="1"/>
    <col min="7" max="8" width="9.140625" style="2"/>
    <col min="9" max="10" width="15.7109375" style="2" customWidth="1"/>
    <col min="11" max="11" width="9.140625" style="2"/>
    <col min="12" max="13" width="15.7109375" style="2" customWidth="1"/>
    <col min="14" max="14" width="9.140625" style="2"/>
    <col min="15" max="16" width="15.7109375" style="2" customWidth="1"/>
    <col min="17" max="17" width="9.140625" style="2"/>
    <col min="18" max="19" width="15.7109375" style="2" customWidth="1"/>
    <col min="20" max="20" width="9.140625" style="2"/>
    <col min="21" max="22" width="15.7109375" style="2" customWidth="1"/>
    <col min="23" max="23" width="9.140625" style="2"/>
    <col min="24" max="25" width="15.7109375" style="2" customWidth="1"/>
    <col min="26" max="26" width="9.140625" style="2"/>
    <col min="27" max="28" width="15.7109375" style="2" customWidth="1"/>
    <col min="29" max="29" width="9.140625" style="2"/>
    <col min="30" max="31" width="15.7109375" style="2" customWidth="1"/>
    <col min="32" max="32" width="9.140625" style="2"/>
    <col min="33" max="34" width="15.7109375" style="2" customWidth="1"/>
    <col min="35" max="35" width="9.140625" style="2"/>
    <col min="36" max="37" width="15.7109375" style="2" customWidth="1"/>
    <col min="38" max="38" width="9.140625" style="2"/>
    <col min="39" max="40" width="15.7109375" style="2" customWidth="1"/>
    <col min="41" max="41" width="9.140625" style="2"/>
    <col min="42" max="43" width="15.7109375" style="2" customWidth="1"/>
    <col min="44" max="44" width="9.140625" style="2"/>
    <col min="45" max="46" width="15.7109375" style="2" customWidth="1"/>
    <col min="47" max="47" width="9.140625" style="2"/>
    <col min="48" max="49" width="15.7109375" style="2" customWidth="1"/>
    <col min="50" max="50" width="9.140625" style="2"/>
    <col min="51" max="52" width="15.7109375" style="2" customWidth="1"/>
    <col min="53" max="53" width="9.140625" style="2"/>
    <col min="54" max="55" width="15.7109375" style="2" customWidth="1"/>
    <col min="56" max="56" width="9.140625" style="2"/>
    <col min="57" max="58" width="15.7109375" style="2" customWidth="1"/>
    <col min="59" max="59" width="9.140625" style="2"/>
    <col min="60" max="61" width="15.7109375" style="2" customWidth="1"/>
    <col min="62" max="62" width="9.140625" style="2"/>
    <col min="63" max="64" width="15.7109375" style="2" customWidth="1"/>
    <col min="65" max="65" width="9.140625" style="2"/>
    <col min="66" max="67" width="15.7109375" style="2" customWidth="1"/>
    <col min="68" max="68" width="9.140625" style="2"/>
    <col min="69" max="70" width="15.7109375" style="2" customWidth="1"/>
    <col min="71" max="71" width="9.140625" style="2"/>
    <col min="72" max="73" width="15.7109375" style="2" customWidth="1"/>
    <col min="74" max="16384" width="9.140625" style="2"/>
  </cols>
  <sheetData>
    <row r="1" spans="2:73" x14ac:dyDescent="0.4">
      <c r="I1" s="42" t="s">
        <v>54</v>
      </c>
      <c r="J1" s="42"/>
      <c r="L1" s="42" t="s">
        <v>57</v>
      </c>
      <c r="M1" s="42"/>
      <c r="O1" s="42" t="s">
        <v>58</v>
      </c>
      <c r="P1" s="42"/>
      <c r="R1" s="42" t="s">
        <v>59</v>
      </c>
      <c r="S1" s="42"/>
      <c r="U1" s="42" t="s">
        <v>60</v>
      </c>
      <c r="V1" s="42"/>
      <c r="X1" s="42" t="s">
        <v>61</v>
      </c>
      <c r="Y1" s="42"/>
      <c r="AA1" s="42" t="s">
        <v>62</v>
      </c>
      <c r="AB1" s="42"/>
      <c r="AD1" s="42" t="s">
        <v>63</v>
      </c>
      <c r="AE1" s="42"/>
      <c r="AG1" s="42" t="s">
        <v>64</v>
      </c>
      <c r="AH1" s="42"/>
      <c r="AJ1" s="42" t="s">
        <v>65</v>
      </c>
      <c r="AK1" s="42"/>
      <c r="AM1" s="42" t="s">
        <v>66</v>
      </c>
      <c r="AN1" s="42"/>
      <c r="AP1" s="42" t="s">
        <v>67</v>
      </c>
      <c r="AQ1" s="42"/>
      <c r="AS1" s="42" t="s">
        <v>68</v>
      </c>
      <c r="AT1" s="42"/>
      <c r="AV1" s="42" t="s">
        <v>69</v>
      </c>
      <c r="AW1" s="42"/>
      <c r="AY1" s="42" t="s">
        <v>70</v>
      </c>
      <c r="AZ1" s="42"/>
      <c r="BB1" s="42" t="s">
        <v>71</v>
      </c>
      <c r="BC1" s="42"/>
      <c r="BE1" s="42" t="s">
        <v>72</v>
      </c>
      <c r="BF1" s="42"/>
      <c r="BH1" s="42" t="s">
        <v>73</v>
      </c>
      <c r="BI1" s="42"/>
      <c r="BK1" s="42" t="s">
        <v>74</v>
      </c>
      <c r="BL1" s="42"/>
      <c r="BN1" s="42" t="s">
        <v>75</v>
      </c>
      <c r="BO1" s="42"/>
      <c r="BQ1" s="42" t="s">
        <v>76</v>
      </c>
      <c r="BR1" s="42"/>
      <c r="BT1" s="42" t="s">
        <v>79</v>
      </c>
      <c r="BU1" s="42"/>
    </row>
    <row r="2" spans="2:73" x14ac:dyDescent="0.4">
      <c r="I2" s="32" t="s">
        <v>83</v>
      </c>
      <c r="J2" s="32"/>
      <c r="L2" s="32" t="s">
        <v>84</v>
      </c>
      <c r="M2" s="32"/>
      <c r="O2" s="32" t="s">
        <v>85</v>
      </c>
      <c r="P2" s="32"/>
      <c r="R2" s="32" t="s">
        <v>86</v>
      </c>
      <c r="S2" s="32"/>
      <c r="U2" s="32" t="s">
        <v>87</v>
      </c>
      <c r="V2" s="32"/>
      <c r="X2" s="32" t="s">
        <v>88</v>
      </c>
      <c r="Y2" s="32"/>
      <c r="AA2" s="32" t="s">
        <v>89</v>
      </c>
      <c r="AB2" s="32"/>
      <c r="AD2" s="32" t="s">
        <v>90</v>
      </c>
      <c r="AE2" s="32"/>
      <c r="AG2" s="32" t="s">
        <v>91</v>
      </c>
      <c r="AH2" s="32"/>
      <c r="AJ2" s="32" t="s">
        <v>92</v>
      </c>
      <c r="AK2" s="32"/>
      <c r="AM2" s="32" t="s">
        <v>93</v>
      </c>
      <c r="AN2" s="32"/>
      <c r="AP2" s="32" t="s">
        <v>94</v>
      </c>
      <c r="AQ2" s="32"/>
      <c r="AS2" s="32" t="s">
        <v>95</v>
      </c>
      <c r="AT2" s="32"/>
      <c r="AV2" s="32" t="s">
        <v>96</v>
      </c>
      <c r="AW2" s="32"/>
      <c r="AY2" s="32" t="s">
        <v>97</v>
      </c>
      <c r="AZ2" s="32"/>
      <c r="BB2" s="32" t="s">
        <v>98</v>
      </c>
      <c r="BC2" s="32"/>
      <c r="BE2" s="32" t="s">
        <v>99</v>
      </c>
      <c r="BF2" s="32"/>
      <c r="BH2" s="32" t="s">
        <v>100</v>
      </c>
      <c r="BI2" s="32"/>
      <c r="BK2" s="32" t="s">
        <v>101</v>
      </c>
      <c r="BL2" s="32"/>
      <c r="BN2" s="32" t="s">
        <v>102</v>
      </c>
      <c r="BO2" s="32"/>
      <c r="BQ2" s="32" t="s">
        <v>103</v>
      </c>
      <c r="BR2" s="32"/>
      <c r="BT2" s="32" t="s">
        <v>104</v>
      </c>
      <c r="BU2" s="32"/>
    </row>
    <row r="4" spans="2:73" ht="19.5" thickBot="1" x14ac:dyDescent="0.45">
      <c r="B4" s="10" t="s">
        <v>0</v>
      </c>
      <c r="C4" s="11" t="s">
        <v>1</v>
      </c>
      <c r="D4" s="13" t="s">
        <v>4</v>
      </c>
      <c r="F4" s="11" t="s">
        <v>3</v>
      </c>
      <c r="G4" s="12" t="s">
        <v>2</v>
      </c>
      <c r="I4" s="11" t="s">
        <v>55</v>
      </c>
      <c r="J4" s="11" t="s">
        <v>56</v>
      </c>
      <c r="L4" s="11" t="s">
        <v>55</v>
      </c>
      <c r="M4" s="11" t="s">
        <v>56</v>
      </c>
      <c r="O4" s="11" t="s">
        <v>55</v>
      </c>
      <c r="P4" s="11" t="s">
        <v>56</v>
      </c>
      <c r="R4" s="11" t="s">
        <v>55</v>
      </c>
      <c r="S4" s="11" t="s">
        <v>56</v>
      </c>
      <c r="U4" s="11" t="s">
        <v>55</v>
      </c>
      <c r="V4" s="11" t="s">
        <v>56</v>
      </c>
      <c r="X4" s="11" t="s">
        <v>55</v>
      </c>
      <c r="Y4" s="11" t="s">
        <v>56</v>
      </c>
      <c r="AA4" s="11" t="s">
        <v>55</v>
      </c>
      <c r="AB4" s="11" t="s">
        <v>56</v>
      </c>
      <c r="AD4" s="11" t="s">
        <v>55</v>
      </c>
      <c r="AE4" s="11" t="s">
        <v>56</v>
      </c>
      <c r="AG4" s="11" t="s">
        <v>55</v>
      </c>
      <c r="AH4" s="11" t="s">
        <v>56</v>
      </c>
      <c r="AJ4" s="11" t="s">
        <v>55</v>
      </c>
      <c r="AK4" s="11" t="s">
        <v>56</v>
      </c>
      <c r="AM4" s="11" t="s">
        <v>55</v>
      </c>
      <c r="AN4" s="11" t="s">
        <v>56</v>
      </c>
      <c r="AP4" s="11" t="s">
        <v>55</v>
      </c>
      <c r="AQ4" s="11" t="s">
        <v>56</v>
      </c>
      <c r="AS4" s="11" t="s">
        <v>55</v>
      </c>
      <c r="AT4" s="11" t="s">
        <v>56</v>
      </c>
      <c r="AV4" s="11" t="s">
        <v>55</v>
      </c>
      <c r="AW4" s="11" t="s">
        <v>56</v>
      </c>
      <c r="AY4" s="11" t="s">
        <v>55</v>
      </c>
      <c r="AZ4" s="11" t="s">
        <v>56</v>
      </c>
      <c r="BB4" s="11" t="s">
        <v>55</v>
      </c>
      <c r="BC4" s="11" t="s">
        <v>56</v>
      </c>
      <c r="BE4" s="11" t="s">
        <v>55</v>
      </c>
      <c r="BF4" s="11" t="s">
        <v>56</v>
      </c>
      <c r="BH4" s="11" t="s">
        <v>55</v>
      </c>
      <c r="BI4" s="11" t="s">
        <v>56</v>
      </c>
      <c r="BK4" s="11" t="s">
        <v>55</v>
      </c>
      <c r="BL4" s="11" t="s">
        <v>56</v>
      </c>
      <c r="BN4" s="11" t="s">
        <v>55</v>
      </c>
      <c r="BO4" s="11" t="s">
        <v>56</v>
      </c>
      <c r="BQ4" s="11" t="s">
        <v>55</v>
      </c>
      <c r="BR4" s="11" t="s">
        <v>56</v>
      </c>
      <c r="BT4" s="11" t="s">
        <v>55</v>
      </c>
      <c r="BU4" s="11" t="s">
        <v>56</v>
      </c>
    </row>
    <row r="5" spans="2:73" x14ac:dyDescent="0.4">
      <c r="B5" s="36">
        <v>1</v>
      </c>
      <c r="C5" s="39" t="s">
        <v>5</v>
      </c>
      <c r="D5" s="33" t="s">
        <v>12</v>
      </c>
      <c r="E5" s="3">
        <v>1</v>
      </c>
      <c r="F5" s="4" t="s">
        <v>19</v>
      </c>
      <c r="G5" s="44">
        <v>0.3</v>
      </c>
      <c r="H5" s="17"/>
      <c r="I5" s="43">
        <v>3</v>
      </c>
      <c r="J5" s="43">
        <f>I5*$G$5</f>
        <v>0.89999999999999991</v>
      </c>
      <c r="L5" s="43">
        <v>5</v>
      </c>
      <c r="M5" s="43">
        <f>L5*$G$5</f>
        <v>1.5</v>
      </c>
      <c r="O5" s="43">
        <v>3</v>
      </c>
      <c r="P5" s="43">
        <f>O5*$G$5</f>
        <v>0.89999999999999991</v>
      </c>
      <c r="R5" s="43">
        <v>4</v>
      </c>
      <c r="S5" s="43">
        <f>R5*$G$5</f>
        <v>1.2</v>
      </c>
      <c r="U5" s="43">
        <v>4</v>
      </c>
      <c r="V5" s="43">
        <f>U5*$G$5</f>
        <v>1.2</v>
      </c>
      <c r="X5" s="43">
        <v>3</v>
      </c>
      <c r="Y5" s="43">
        <f>X5*$G$5</f>
        <v>0.89999999999999991</v>
      </c>
      <c r="AA5" s="43">
        <v>4</v>
      </c>
      <c r="AB5" s="43">
        <f>AA5*$G$5</f>
        <v>1.2</v>
      </c>
      <c r="AD5" s="43">
        <v>4</v>
      </c>
      <c r="AE5" s="43">
        <f>AD5*$G$5</f>
        <v>1.2</v>
      </c>
      <c r="AG5" s="43">
        <v>4</v>
      </c>
      <c r="AH5" s="43">
        <f>AG5*$G$5</f>
        <v>1.2</v>
      </c>
      <c r="AJ5" s="43">
        <v>2</v>
      </c>
      <c r="AK5" s="43">
        <f>AJ5*$G$5</f>
        <v>0.6</v>
      </c>
      <c r="AM5" s="43">
        <v>3</v>
      </c>
      <c r="AN5" s="43">
        <f>AM5*$G$5</f>
        <v>0.89999999999999991</v>
      </c>
      <c r="AP5" s="43">
        <v>5</v>
      </c>
      <c r="AQ5" s="43">
        <f>AP5*$G$5</f>
        <v>1.5</v>
      </c>
      <c r="AS5" s="43">
        <v>4</v>
      </c>
      <c r="AT5" s="43">
        <f>AS5*$G$5</f>
        <v>1.2</v>
      </c>
      <c r="AV5" s="43">
        <v>4</v>
      </c>
      <c r="AW5" s="43">
        <f>AV5*$G$5</f>
        <v>1.2</v>
      </c>
      <c r="AY5" s="43">
        <v>3</v>
      </c>
      <c r="AZ5" s="43">
        <f>AY5*$G$5</f>
        <v>0.89999999999999991</v>
      </c>
      <c r="BB5" s="43">
        <v>2</v>
      </c>
      <c r="BC5" s="43">
        <f>BB5*$G$5</f>
        <v>0.6</v>
      </c>
      <c r="BE5" s="43">
        <v>3</v>
      </c>
      <c r="BF5" s="43">
        <f>BE5*$G$5</f>
        <v>0.89999999999999991</v>
      </c>
      <c r="BH5" s="43">
        <v>2</v>
      </c>
      <c r="BI5" s="43">
        <f>BH5*$G$5</f>
        <v>0.6</v>
      </c>
      <c r="BK5" s="43">
        <v>5</v>
      </c>
      <c r="BL5" s="43">
        <f>BK5*$G$5</f>
        <v>1.5</v>
      </c>
      <c r="BN5" s="43">
        <v>3</v>
      </c>
      <c r="BO5" s="43">
        <f>BN5*$G$5</f>
        <v>0.89999999999999991</v>
      </c>
      <c r="BQ5" s="43">
        <v>2</v>
      </c>
      <c r="BR5" s="43">
        <f>BQ5*$G$5</f>
        <v>0.6</v>
      </c>
      <c r="BT5" s="43">
        <v>4</v>
      </c>
      <c r="BU5" s="43">
        <f>BT5*$G$5</f>
        <v>1.2</v>
      </c>
    </row>
    <row r="6" spans="2:73" x14ac:dyDescent="0.4">
      <c r="B6" s="37"/>
      <c r="C6" s="40"/>
      <c r="D6" s="34"/>
      <c r="E6" s="5">
        <v>2</v>
      </c>
      <c r="F6" s="2" t="s">
        <v>41</v>
      </c>
      <c r="G6" s="45"/>
      <c r="H6" s="17"/>
      <c r="I6" s="43"/>
      <c r="J6" s="43"/>
      <c r="L6" s="43"/>
      <c r="M6" s="43"/>
      <c r="O6" s="43"/>
      <c r="P6" s="43"/>
      <c r="R6" s="43"/>
      <c r="S6" s="43"/>
      <c r="U6" s="43"/>
      <c r="V6" s="43"/>
      <c r="X6" s="43"/>
      <c r="Y6" s="43"/>
      <c r="AA6" s="43"/>
      <c r="AB6" s="43"/>
      <c r="AD6" s="43"/>
      <c r="AE6" s="43"/>
      <c r="AG6" s="43"/>
      <c r="AH6" s="43"/>
      <c r="AJ6" s="43"/>
      <c r="AK6" s="43"/>
      <c r="AM6" s="43"/>
      <c r="AN6" s="43"/>
      <c r="AP6" s="43"/>
      <c r="AQ6" s="43"/>
      <c r="AS6" s="43"/>
      <c r="AT6" s="43"/>
      <c r="AV6" s="43"/>
      <c r="AW6" s="43"/>
      <c r="AY6" s="43"/>
      <c r="AZ6" s="43"/>
      <c r="BB6" s="43"/>
      <c r="BC6" s="43"/>
      <c r="BE6" s="43"/>
      <c r="BF6" s="43"/>
      <c r="BH6" s="43"/>
      <c r="BI6" s="43"/>
      <c r="BK6" s="43"/>
      <c r="BL6" s="43"/>
      <c r="BN6" s="43"/>
      <c r="BO6" s="43"/>
      <c r="BQ6" s="43"/>
      <c r="BR6" s="43"/>
      <c r="BT6" s="43"/>
      <c r="BU6" s="43"/>
    </row>
    <row r="7" spans="2:73" x14ac:dyDescent="0.4">
      <c r="B7" s="37"/>
      <c r="C7" s="40"/>
      <c r="D7" s="34"/>
      <c r="E7" s="6">
        <v>3</v>
      </c>
      <c r="F7" s="2" t="s">
        <v>42</v>
      </c>
      <c r="G7" s="45"/>
      <c r="H7" s="17"/>
      <c r="I7" s="43"/>
      <c r="J7" s="43"/>
      <c r="L7" s="43"/>
      <c r="M7" s="43"/>
      <c r="O7" s="43"/>
      <c r="P7" s="43"/>
      <c r="R7" s="43"/>
      <c r="S7" s="43"/>
      <c r="U7" s="43"/>
      <c r="V7" s="43"/>
      <c r="X7" s="43"/>
      <c r="Y7" s="43"/>
      <c r="AA7" s="43"/>
      <c r="AB7" s="43"/>
      <c r="AD7" s="43"/>
      <c r="AE7" s="43"/>
      <c r="AG7" s="43"/>
      <c r="AH7" s="43"/>
      <c r="AJ7" s="43"/>
      <c r="AK7" s="43"/>
      <c r="AM7" s="43"/>
      <c r="AN7" s="43"/>
      <c r="AP7" s="43"/>
      <c r="AQ7" s="43"/>
      <c r="AS7" s="43"/>
      <c r="AT7" s="43"/>
      <c r="AV7" s="43"/>
      <c r="AW7" s="43"/>
      <c r="AY7" s="43"/>
      <c r="AZ7" s="43"/>
      <c r="BB7" s="43"/>
      <c r="BC7" s="43"/>
      <c r="BE7" s="43"/>
      <c r="BF7" s="43"/>
      <c r="BH7" s="43"/>
      <c r="BI7" s="43"/>
      <c r="BK7" s="43"/>
      <c r="BL7" s="43"/>
      <c r="BN7" s="43"/>
      <c r="BO7" s="43"/>
      <c r="BQ7" s="43"/>
      <c r="BR7" s="43"/>
      <c r="BT7" s="43"/>
      <c r="BU7" s="43"/>
    </row>
    <row r="8" spans="2:73" x14ac:dyDescent="0.4">
      <c r="B8" s="37"/>
      <c r="C8" s="40"/>
      <c r="D8" s="34"/>
      <c r="E8" s="7">
        <v>4</v>
      </c>
      <c r="F8" s="2" t="s">
        <v>43</v>
      </c>
      <c r="G8" s="45"/>
      <c r="H8" s="17"/>
      <c r="I8" s="43"/>
      <c r="J8" s="43"/>
      <c r="L8" s="43"/>
      <c r="M8" s="43"/>
      <c r="O8" s="43"/>
      <c r="P8" s="43"/>
      <c r="R8" s="43"/>
      <c r="S8" s="43"/>
      <c r="U8" s="43"/>
      <c r="V8" s="43"/>
      <c r="X8" s="43"/>
      <c r="Y8" s="43"/>
      <c r="AA8" s="43"/>
      <c r="AB8" s="43"/>
      <c r="AD8" s="43"/>
      <c r="AE8" s="43"/>
      <c r="AG8" s="43"/>
      <c r="AH8" s="43"/>
      <c r="AJ8" s="43"/>
      <c r="AK8" s="43"/>
      <c r="AM8" s="43"/>
      <c r="AN8" s="43"/>
      <c r="AP8" s="43"/>
      <c r="AQ8" s="43"/>
      <c r="AS8" s="43"/>
      <c r="AT8" s="43"/>
      <c r="AV8" s="43"/>
      <c r="AW8" s="43"/>
      <c r="AY8" s="43"/>
      <c r="AZ8" s="43"/>
      <c r="BB8" s="43"/>
      <c r="BC8" s="43"/>
      <c r="BE8" s="43"/>
      <c r="BF8" s="43"/>
      <c r="BH8" s="43"/>
      <c r="BI8" s="43"/>
      <c r="BK8" s="43"/>
      <c r="BL8" s="43"/>
      <c r="BN8" s="43"/>
      <c r="BO8" s="43"/>
      <c r="BQ8" s="43"/>
      <c r="BR8" s="43"/>
      <c r="BT8" s="43"/>
      <c r="BU8" s="43"/>
    </row>
    <row r="9" spans="2:73" ht="19.5" thickBot="1" x14ac:dyDescent="0.45">
      <c r="B9" s="38"/>
      <c r="C9" s="41"/>
      <c r="D9" s="35"/>
      <c r="E9" s="8">
        <v>5</v>
      </c>
      <c r="F9" s="9" t="s">
        <v>44</v>
      </c>
      <c r="G9" s="46"/>
      <c r="H9" s="17"/>
      <c r="I9" s="43"/>
      <c r="J9" s="43"/>
      <c r="L9" s="43"/>
      <c r="M9" s="43"/>
      <c r="O9" s="43"/>
      <c r="P9" s="43"/>
      <c r="R9" s="43"/>
      <c r="S9" s="43"/>
      <c r="U9" s="43"/>
      <c r="V9" s="43"/>
      <c r="X9" s="43"/>
      <c r="Y9" s="43"/>
      <c r="AA9" s="43"/>
      <c r="AB9" s="43"/>
      <c r="AD9" s="43"/>
      <c r="AE9" s="43"/>
      <c r="AG9" s="43"/>
      <c r="AH9" s="43"/>
      <c r="AJ9" s="43"/>
      <c r="AK9" s="43"/>
      <c r="AM9" s="43"/>
      <c r="AN9" s="43"/>
      <c r="AP9" s="43"/>
      <c r="AQ9" s="43"/>
      <c r="AS9" s="43"/>
      <c r="AT9" s="43"/>
      <c r="AV9" s="43"/>
      <c r="AW9" s="43"/>
      <c r="AY9" s="43"/>
      <c r="AZ9" s="43"/>
      <c r="BB9" s="43"/>
      <c r="BC9" s="43"/>
      <c r="BE9" s="43"/>
      <c r="BF9" s="43"/>
      <c r="BH9" s="43"/>
      <c r="BI9" s="43"/>
      <c r="BK9" s="43"/>
      <c r="BL9" s="43"/>
      <c r="BN9" s="43"/>
      <c r="BO9" s="43"/>
      <c r="BQ9" s="43"/>
      <c r="BR9" s="43"/>
      <c r="BT9" s="43"/>
      <c r="BU9" s="43"/>
    </row>
    <row r="10" spans="2:73" x14ac:dyDescent="0.4">
      <c r="B10" s="36">
        <v>2</v>
      </c>
      <c r="C10" s="39" t="s">
        <v>6</v>
      </c>
      <c r="D10" s="33" t="s">
        <v>13</v>
      </c>
      <c r="E10" s="3">
        <v>1</v>
      </c>
      <c r="F10" s="4" t="s">
        <v>45</v>
      </c>
      <c r="G10" s="44">
        <v>0.25</v>
      </c>
      <c r="H10" s="17"/>
      <c r="I10" s="43">
        <v>2</v>
      </c>
      <c r="J10" s="43">
        <f>I10*$G$10</f>
        <v>0.5</v>
      </c>
      <c r="L10" s="43">
        <v>4</v>
      </c>
      <c r="M10" s="43">
        <f>L10*$G$10</f>
        <v>1</v>
      </c>
      <c r="O10" s="43">
        <v>2</v>
      </c>
      <c r="P10" s="43">
        <f>O10*$G$10</f>
        <v>0.5</v>
      </c>
      <c r="R10" s="43">
        <v>3</v>
      </c>
      <c r="S10" s="43">
        <f>R10*$G$10</f>
        <v>0.75</v>
      </c>
      <c r="U10" s="43">
        <v>4</v>
      </c>
      <c r="V10" s="43">
        <f>U10*$G$10</f>
        <v>1</v>
      </c>
      <c r="X10" s="43">
        <v>4</v>
      </c>
      <c r="Y10" s="43">
        <f>X10*$G$10</f>
        <v>1</v>
      </c>
      <c r="AA10" s="43">
        <v>4</v>
      </c>
      <c r="AB10" s="43">
        <f>AA10*$G$10</f>
        <v>1</v>
      </c>
      <c r="AD10" s="43">
        <v>4</v>
      </c>
      <c r="AE10" s="43">
        <f>AD10*$G$10</f>
        <v>1</v>
      </c>
      <c r="AG10" s="43">
        <v>5</v>
      </c>
      <c r="AH10" s="43">
        <f>AG10*$G$10</f>
        <v>1.25</v>
      </c>
      <c r="AJ10" s="43">
        <v>5</v>
      </c>
      <c r="AK10" s="43">
        <f>AJ10*$G$10</f>
        <v>1.25</v>
      </c>
      <c r="AM10" s="43">
        <v>4</v>
      </c>
      <c r="AN10" s="43">
        <f>AM10*$G$10</f>
        <v>1</v>
      </c>
      <c r="AP10" s="43">
        <v>4</v>
      </c>
      <c r="AQ10" s="43">
        <f>AP10*$G$10</f>
        <v>1</v>
      </c>
      <c r="AS10" s="43">
        <v>5</v>
      </c>
      <c r="AT10" s="43">
        <f>AS10*$G$10</f>
        <v>1.25</v>
      </c>
      <c r="AV10" s="43">
        <v>5</v>
      </c>
      <c r="AW10" s="43">
        <f>AV10*$G$10</f>
        <v>1.25</v>
      </c>
      <c r="AY10" s="43">
        <v>5</v>
      </c>
      <c r="AZ10" s="43">
        <f>AY10*$G$10</f>
        <v>1.25</v>
      </c>
      <c r="BB10" s="43">
        <v>4</v>
      </c>
      <c r="BC10" s="43">
        <f>BB10*$G$10</f>
        <v>1</v>
      </c>
      <c r="BE10" s="43">
        <v>5</v>
      </c>
      <c r="BF10" s="43">
        <f>BE10*$G$10</f>
        <v>1.25</v>
      </c>
      <c r="BH10" s="43">
        <v>5</v>
      </c>
      <c r="BI10" s="43">
        <f>BH10*$G$10</f>
        <v>1.25</v>
      </c>
      <c r="BK10" s="43">
        <v>5</v>
      </c>
      <c r="BL10" s="43">
        <f>BK10*$G$10</f>
        <v>1.25</v>
      </c>
      <c r="BN10" s="43">
        <v>4</v>
      </c>
      <c r="BO10" s="43">
        <f>BN10*$G$10</f>
        <v>1</v>
      </c>
      <c r="BQ10" s="43">
        <v>3</v>
      </c>
      <c r="BR10" s="43">
        <f>BQ10*$G$10</f>
        <v>0.75</v>
      </c>
      <c r="BT10" s="43">
        <v>4</v>
      </c>
      <c r="BU10" s="43">
        <f>BT10*$G$10</f>
        <v>1</v>
      </c>
    </row>
    <row r="11" spans="2:73" x14ac:dyDescent="0.4">
      <c r="B11" s="37"/>
      <c r="C11" s="40"/>
      <c r="D11" s="34"/>
      <c r="E11" s="5">
        <v>2</v>
      </c>
      <c r="F11" s="2" t="s">
        <v>46</v>
      </c>
      <c r="G11" s="45"/>
      <c r="H11" s="17"/>
      <c r="I11" s="43"/>
      <c r="J11" s="43"/>
      <c r="L11" s="43"/>
      <c r="M11" s="43"/>
      <c r="O11" s="43"/>
      <c r="P11" s="43"/>
      <c r="R11" s="43"/>
      <c r="S11" s="43"/>
      <c r="U11" s="43"/>
      <c r="V11" s="43"/>
      <c r="X11" s="43"/>
      <c r="Y11" s="43"/>
      <c r="AA11" s="43"/>
      <c r="AB11" s="43"/>
      <c r="AD11" s="43"/>
      <c r="AE11" s="43"/>
      <c r="AG11" s="43"/>
      <c r="AH11" s="43"/>
      <c r="AJ11" s="43"/>
      <c r="AK11" s="43"/>
      <c r="AM11" s="43"/>
      <c r="AN11" s="43"/>
      <c r="AP11" s="43"/>
      <c r="AQ11" s="43"/>
      <c r="AS11" s="43"/>
      <c r="AT11" s="43"/>
      <c r="AV11" s="43"/>
      <c r="AW11" s="43"/>
      <c r="AY11" s="43"/>
      <c r="AZ11" s="43"/>
      <c r="BB11" s="43"/>
      <c r="BC11" s="43"/>
      <c r="BE11" s="43"/>
      <c r="BF11" s="43"/>
      <c r="BH11" s="43"/>
      <c r="BI11" s="43"/>
      <c r="BK11" s="43"/>
      <c r="BL11" s="43"/>
      <c r="BN11" s="43"/>
      <c r="BO11" s="43"/>
      <c r="BQ11" s="43"/>
      <c r="BR11" s="43"/>
      <c r="BT11" s="43"/>
      <c r="BU11" s="43"/>
    </row>
    <row r="12" spans="2:73" x14ac:dyDescent="0.4">
      <c r="B12" s="37"/>
      <c r="C12" s="40"/>
      <c r="D12" s="34"/>
      <c r="E12" s="6">
        <v>3</v>
      </c>
      <c r="F12" s="2" t="s">
        <v>47</v>
      </c>
      <c r="G12" s="45"/>
      <c r="H12" s="17"/>
      <c r="I12" s="43"/>
      <c r="J12" s="43"/>
      <c r="L12" s="43"/>
      <c r="M12" s="43"/>
      <c r="O12" s="43"/>
      <c r="P12" s="43"/>
      <c r="R12" s="43"/>
      <c r="S12" s="43"/>
      <c r="U12" s="43"/>
      <c r="V12" s="43"/>
      <c r="X12" s="43"/>
      <c r="Y12" s="43"/>
      <c r="AA12" s="43"/>
      <c r="AB12" s="43"/>
      <c r="AD12" s="43"/>
      <c r="AE12" s="43"/>
      <c r="AG12" s="43"/>
      <c r="AH12" s="43"/>
      <c r="AJ12" s="43"/>
      <c r="AK12" s="43"/>
      <c r="AM12" s="43"/>
      <c r="AN12" s="43"/>
      <c r="AP12" s="43"/>
      <c r="AQ12" s="43"/>
      <c r="AS12" s="43"/>
      <c r="AT12" s="43"/>
      <c r="AV12" s="43"/>
      <c r="AW12" s="43"/>
      <c r="AY12" s="43"/>
      <c r="AZ12" s="43"/>
      <c r="BB12" s="43"/>
      <c r="BC12" s="43"/>
      <c r="BE12" s="43"/>
      <c r="BF12" s="43"/>
      <c r="BH12" s="43"/>
      <c r="BI12" s="43"/>
      <c r="BK12" s="43"/>
      <c r="BL12" s="43"/>
      <c r="BN12" s="43"/>
      <c r="BO12" s="43"/>
      <c r="BQ12" s="43"/>
      <c r="BR12" s="43"/>
      <c r="BT12" s="43"/>
      <c r="BU12" s="43"/>
    </row>
    <row r="13" spans="2:73" x14ac:dyDescent="0.4">
      <c r="B13" s="37"/>
      <c r="C13" s="40"/>
      <c r="D13" s="34"/>
      <c r="E13" s="7">
        <v>4</v>
      </c>
      <c r="F13" s="2" t="s">
        <v>48</v>
      </c>
      <c r="G13" s="45"/>
      <c r="H13" s="17"/>
      <c r="I13" s="43"/>
      <c r="J13" s="43"/>
      <c r="L13" s="43"/>
      <c r="M13" s="43"/>
      <c r="O13" s="43"/>
      <c r="P13" s="43"/>
      <c r="R13" s="43"/>
      <c r="S13" s="43"/>
      <c r="U13" s="43"/>
      <c r="V13" s="43"/>
      <c r="X13" s="43"/>
      <c r="Y13" s="43"/>
      <c r="AA13" s="43"/>
      <c r="AB13" s="43"/>
      <c r="AD13" s="43"/>
      <c r="AE13" s="43"/>
      <c r="AG13" s="43"/>
      <c r="AH13" s="43"/>
      <c r="AJ13" s="43"/>
      <c r="AK13" s="43"/>
      <c r="AM13" s="43"/>
      <c r="AN13" s="43"/>
      <c r="AP13" s="43"/>
      <c r="AQ13" s="43"/>
      <c r="AS13" s="43"/>
      <c r="AT13" s="43"/>
      <c r="AV13" s="43"/>
      <c r="AW13" s="43"/>
      <c r="AY13" s="43"/>
      <c r="AZ13" s="43"/>
      <c r="BB13" s="43"/>
      <c r="BC13" s="43"/>
      <c r="BE13" s="43"/>
      <c r="BF13" s="43"/>
      <c r="BH13" s="43"/>
      <c r="BI13" s="43"/>
      <c r="BK13" s="43"/>
      <c r="BL13" s="43"/>
      <c r="BN13" s="43"/>
      <c r="BO13" s="43"/>
      <c r="BQ13" s="43"/>
      <c r="BR13" s="43"/>
      <c r="BT13" s="43"/>
      <c r="BU13" s="43"/>
    </row>
    <row r="14" spans="2:73" ht="19.5" thickBot="1" x14ac:dyDescent="0.45">
      <c r="B14" s="38"/>
      <c r="C14" s="41"/>
      <c r="D14" s="35"/>
      <c r="E14" s="8">
        <v>5</v>
      </c>
      <c r="F14" s="9" t="s">
        <v>49</v>
      </c>
      <c r="G14" s="46"/>
      <c r="H14" s="17"/>
      <c r="I14" s="43"/>
      <c r="J14" s="43"/>
      <c r="L14" s="43"/>
      <c r="M14" s="43"/>
      <c r="O14" s="43"/>
      <c r="P14" s="43"/>
      <c r="R14" s="43"/>
      <c r="S14" s="43"/>
      <c r="U14" s="43"/>
      <c r="V14" s="43"/>
      <c r="X14" s="43"/>
      <c r="Y14" s="43"/>
      <c r="AA14" s="43"/>
      <c r="AB14" s="43"/>
      <c r="AD14" s="43"/>
      <c r="AE14" s="43"/>
      <c r="AG14" s="43"/>
      <c r="AH14" s="43"/>
      <c r="AJ14" s="43"/>
      <c r="AK14" s="43"/>
      <c r="AM14" s="43"/>
      <c r="AN14" s="43"/>
      <c r="AP14" s="43"/>
      <c r="AQ14" s="43"/>
      <c r="AS14" s="43"/>
      <c r="AT14" s="43"/>
      <c r="AV14" s="43"/>
      <c r="AW14" s="43"/>
      <c r="AY14" s="43"/>
      <c r="AZ14" s="43"/>
      <c r="BB14" s="43"/>
      <c r="BC14" s="43"/>
      <c r="BE14" s="43"/>
      <c r="BF14" s="43"/>
      <c r="BH14" s="43"/>
      <c r="BI14" s="43"/>
      <c r="BK14" s="43"/>
      <c r="BL14" s="43"/>
      <c r="BN14" s="43"/>
      <c r="BO14" s="43"/>
      <c r="BQ14" s="43"/>
      <c r="BR14" s="43"/>
      <c r="BT14" s="43"/>
      <c r="BU14" s="43"/>
    </row>
    <row r="15" spans="2:73" x14ac:dyDescent="0.4">
      <c r="B15" s="36">
        <v>3</v>
      </c>
      <c r="C15" s="39" t="s">
        <v>7</v>
      </c>
      <c r="D15" s="33" t="s">
        <v>14</v>
      </c>
      <c r="E15" s="3">
        <v>1</v>
      </c>
      <c r="F15" s="4" t="s">
        <v>20</v>
      </c>
      <c r="G15" s="44">
        <v>0.15</v>
      </c>
      <c r="H15" s="17"/>
      <c r="I15" s="43">
        <v>4</v>
      </c>
      <c r="J15" s="43">
        <f>I15*$G$15</f>
        <v>0.6</v>
      </c>
      <c r="L15" s="43">
        <v>2</v>
      </c>
      <c r="M15" s="43">
        <f>L15*$G$15</f>
        <v>0.3</v>
      </c>
      <c r="O15" s="43">
        <v>5</v>
      </c>
      <c r="P15" s="43">
        <f>O15*$G$15</f>
        <v>0.75</v>
      </c>
      <c r="R15" s="43">
        <v>5</v>
      </c>
      <c r="S15" s="43">
        <f>R15*$G$15</f>
        <v>0.75</v>
      </c>
      <c r="U15" s="43">
        <v>4</v>
      </c>
      <c r="V15" s="43">
        <f>U15*$G$15</f>
        <v>0.6</v>
      </c>
      <c r="X15" s="43">
        <v>3</v>
      </c>
      <c r="Y15" s="43">
        <f>X15*$G$15</f>
        <v>0.44999999999999996</v>
      </c>
      <c r="AA15" s="43">
        <v>3</v>
      </c>
      <c r="AB15" s="43">
        <f>AA15*$G$15</f>
        <v>0.44999999999999996</v>
      </c>
      <c r="AD15" s="43">
        <v>3</v>
      </c>
      <c r="AE15" s="43">
        <f>AD15*$G$15</f>
        <v>0.44999999999999996</v>
      </c>
      <c r="AG15" s="43">
        <v>3</v>
      </c>
      <c r="AH15" s="43">
        <f>AG15*$G$15</f>
        <v>0.44999999999999996</v>
      </c>
      <c r="AJ15" s="43">
        <v>3</v>
      </c>
      <c r="AK15" s="43">
        <f>AJ15*$G$15</f>
        <v>0.44999999999999996</v>
      </c>
      <c r="AM15" s="43">
        <v>5</v>
      </c>
      <c r="AN15" s="43">
        <f>AM15*$G$15</f>
        <v>0.75</v>
      </c>
      <c r="AP15" s="43">
        <v>1</v>
      </c>
      <c r="AQ15" s="43">
        <f>AP15*$G$15</f>
        <v>0.15</v>
      </c>
      <c r="AS15" s="43">
        <v>3</v>
      </c>
      <c r="AT15" s="43">
        <f>AS15*$G$15</f>
        <v>0.44999999999999996</v>
      </c>
      <c r="AV15" s="43">
        <v>1</v>
      </c>
      <c r="AW15" s="43">
        <f>AV15*$G$15</f>
        <v>0.15</v>
      </c>
      <c r="AY15" s="43">
        <v>4</v>
      </c>
      <c r="AZ15" s="43">
        <f>AY15*$G$15</f>
        <v>0.6</v>
      </c>
      <c r="BB15" s="43">
        <v>4</v>
      </c>
      <c r="BC15" s="43">
        <f>BB15*$G$15</f>
        <v>0.6</v>
      </c>
      <c r="BE15" s="43">
        <v>2</v>
      </c>
      <c r="BF15" s="43">
        <f>BE15*$G$15</f>
        <v>0.3</v>
      </c>
      <c r="BH15" s="43">
        <v>2</v>
      </c>
      <c r="BI15" s="43">
        <f>BH15*$G$15</f>
        <v>0.3</v>
      </c>
      <c r="BK15" s="43">
        <v>1</v>
      </c>
      <c r="BL15" s="43">
        <f>BK15*$G$15</f>
        <v>0.15</v>
      </c>
      <c r="BN15" s="43">
        <v>3</v>
      </c>
      <c r="BO15" s="43">
        <f>BN15*$G$15</f>
        <v>0.44999999999999996</v>
      </c>
      <c r="BQ15" s="43">
        <v>5</v>
      </c>
      <c r="BR15" s="43">
        <f>BQ15*$G$15</f>
        <v>0.75</v>
      </c>
      <c r="BT15" s="43">
        <v>3</v>
      </c>
      <c r="BU15" s="43">
        <f>BT15*$G$15</f>
        <v>0.44999999999999996</v>
      </c>
    </row>
    <row r="16" spans="2:73" x14ac:dyDescent="0.4">
      <c r="B16" s="37"/>
      <c r="C16" s="40"/>
      <c r="D16" s="34"/>
      <c r="E16" s="5">
        <v>2</v>
      </c>
      <c r="F16" s="2" t="s">
        <v>21</v>
      </c>
      <c r="G16" s="45"/>
      <c r="H16" s="17"/>
      <c r="I16" s="43"/>
      <c r="J16" s="43"/>
      <c r="L16" s="43"/>
      <c r="M16" s="43"/>
      <c r="O16" s="43"/>
      <c r="P16" s="43"/>
      <c r="R16" s="43"/>
      <c r="S16" s="43"/>
      <c r="U16" s="43"/>
      <c r="V16" s="43"/>
      <c r="X16" s="43"/>
      <c r="Y16" s="43"/>
      <c r="AA16" s="43"/>
      <c r="AB16" s="43"/>
      <c r="AD16" s="43"/>
      <c r="AE16" s="43"/>
      <c r="AG16" s="43"/>
      <c r="AH16" s="43"/>
      <c r="AJ16" s="43"/>
      <c r="AK16" s="43"/>
      <c r="AM16" s="43"/>
      <c r="AN16" s="43"/>
      <c r="AP16" s="43"/>
      <c r="AQ16" s="43"/>
      <c r="AS16" s="43"/>
      <c r="AT16" s="43"/>
      <c r="AV16" s="43"/>
      <c r="AW16" s="43"/>
      <c r="AY16" s="43"/>
      <c r="AZ16" s="43"/>
      <c r="BB16" s="43"/>
      <c r="BC16" s="43"/>
      <c r="BE16" s="43"/>
      <c r="BF16" s="43"/>
      <c r="BH16" s="43"/>
      <c r="BI16" s="43"/>
      <c r="BK16" s="43"/>
      <c r="BL16" s="43"/>
      <c r="BN16" s="43"/>
      <c r="BO16" s="43"/>
      <c r="BQ16" s="43"/>
      <c r="BR16" s="43"/>
      <c r="BT16" s="43"/>
      <c r="BU16" s="43"/>
    </row>
    <row r="17" spans="2:73" x14ac:dyDescent="0.4">
      <c r="B17" s="37"/>
      <c r="C17" s="40"/>
      <c r="D17" s="34"/>
      <c r="E17" s="6">
        <v>3</v>
      </c>
      <c r="F17" s="2" t="s">
        <v>22</v>
      </c>
      <c r="G17" s="45"/>
      <c r="H17" s="17"/>
      <c r="I17" s="43"/>
      <c r="J17" s="43"/>
      <c r="L17" s="43"/>
      <c r="M17" s="43"/>
      <c r="O17" s="43"/>
      <c r="P17" s="43"/>
      <c r="R17" s="43"/>
      <c r="S17" s="43"/>
      <c r="U17" s="43"/>
      <c r="V17" s="43"/>
      <c r="X17" s="43"/>
      <c r="Y17" s="43"/>
      <c r="AA17" s="43"/>
      <c r="AB17" s="43"/>
      <c r="AD17" s="43"/>
      <c r="AE17" s="43"/>
      <c r="AG17" s="43"/>
      <c r="AH17" s="43"/>
      <c r="AJ17" s="43"/>
      <c r="AK17" s="43"/>
      <c r="AM17" s="43"/>
      <c r="AN17" s="43"/>
      <c r="AP17" s="43"/>
      <c r="AQ17" s="43"/>
      <c r="AS17" s="43"/>
      <c r="AT17" s="43"/>
      <c r="AV17" s="43"/>
      <c r="AW17" s="43"/>
      <c r="AY17" s="43"/>
      <c r="AZ17" s="43"/>
      <c r="BB17" s="43"/>
      <c r="BC17" s="43"/>
      <c r="BE17" s="43"/>
      <c r="BF17" s="43"/>
      <c r="BH17" s="43"/>
      <c r="BI17" s="43"/>
      <c r="BK17" s="43"/>
      <c r="BL17" s="43"/>
      <c r="BN17" s="43"/>
      <c r="BO17" s="43"/>
      <c r="BQ17" s="43"/>
      <c r="BR17" s="43"/>
      <c r="BT17" s="43"/>
      <c r="BU17" s="43"/>
    </row>
    <row r="18" spans="2:73" x14ac:dyDescent="0.4">
      <c r="B18" s="37"/>
      <c r="C18" s="40"/>
      <c r="D18" s="34"/>
      <c r="E18" s="7">
        <v>4</v>
      </c>
      <c r="F18" s="2" t="s">
        <v>23</v>
      </c>
      <c r="G18" s="45"/>
      <c r="H18" s="17"/>
      <c r="I18" s="43"/>
      <c r="J18" s="43"/>
      <c r="L18" s="43"/>
      <c r="M18" s="43"/>
      <c r="O18" s="43"/>
      <c r="P18" s="43"/>
      <c r="R18" s="43"/>
      <c r="S18" s="43"/>
      <c r="U18" s="43"/>
      <c r="V18" s="43"/>
      <c r="X18" s="43"/>
      <c r="Y18" s="43"/>
      <c r="AA18" s="43"/>
      <c r="AB18" s="43"/>
      <c r="AD18" s="43"/>
      <c r="AE18" s="43"/>
      <c r="AG18" s="43"/>
      <c r="AH18" s="43"/>
      <c r="AJ18" s="43"/>
      <c r="AK18" s="43"/>
      <c r="AM18" s="43"/>
      <c r="AN18" s="43"/>
      <c r="AP18" s="43"/>
      <c r="AQ18" s="43"/>
      <c r="AS18" s="43"/>
      <c r="AT18" s="43"/>
      <c r="AV18" s="43"/>
      <c r="AW18" s="43"/>
      <c r="AY18" s="43"/>
      <c r="AZ18" s="43"/>
      <c r="BB18" s="43"/>
      <c r="BC18" s="43"/>
      <c r="BE18" s="43"/>
      <c r="BF18" s="43"/>
      <c r="BH18" s="43"/>
      <c r="BI18" s="43"/>
      <c r="BK18" s="43"/>
      <c r="BL18" s="43"/>
      <c r="BN18" s="43"/>
      <c r="BO18" s="43"/>
      <c r="BQ18" s="43"/>
      <c r="BR18" s="43"/>
      <c r="BT18" s="43"/>
      <c r="BU18" s="43"/>
    </row>
    <row r="19" spans="2:73" ht="19.5" thickBot="1" x14ac:dyDescent="0.45">
      <c r="B19" s="38"/>
      <c r="C19" s="41"/>
      <c r="D19" s="35"/>
      <c r="E19" s="8">
        <v>5</v>
      </c>
      <c r="F19" s="9" t="s">
        <v>24</v>
      </c>
      <c r="G19" s="46"/>
      <c r="H19" s="17"/>
      <c r="I19" s="43"/>
      <c r="J19" s="43"/>
      <c r="L19" s="43"/>
      <c r="M19" s="43"/>
      <c r="O19" s="43"/>
      <c r="P19" s="43"/>
      <c r="R19" s="43"/>
      <c r="S19" s="43"/>
      <c r="U19" s="43"/>
      <c r="V19" s="43"/>
      <c r="X19" s="43"/>
      <c r="Y19" s="43"/>
      <c r="AA19" s="43"/>
      <c r="AB19" s="43"/>
      <c r="AD19" s="43"/>
      <c r="AE19" s="43"/>
      <c r="AG19" s="43"/>
      <c r="AH19" s="43"/>
      <c r="AJ19" s="43"/>
      <c r="AK19" s="43"/>
      <c r="AM19" s="43"/>
      <c r="AN19" s="43"/>
      <c r="AP19" s="43"/>
      <c r="AQ19" s="43"/>
      <c r="AS19" s="43"/>
      <c r="AT19" s="43"/>
      <c r="AV19" s="43"/>
      <c r="AW19" s="43"/>
      <c r="AY19" s="43"/>
      <c r="AZ19" s="43"/>
      <c r="BB19" s="43"/>
      <c r="BC19" s="43"/>
      <c r="BE19" s="43"/>
      <c r="BF19" s="43"/>
      <c r="BH19" s="43"/>
      <c r="BI19" s="43"/>
      <c r="BK19" s="43"/>
      <c r="BL19" s="43"/>
      <c r="BN19" s="43"/>
      <c r="BO19" s="43"/>
      <c r="BQ19" s="43"/>
      <c r="BR19" s="43"/>
      <c r="BT19" s="43"/>
      <c r="BU19" s="43"/>
    </row>
    <row r="20" spans="2:73" x14ac:dyDescent="0.4">
      <c r="B20" s="36">
        <v>4</v>
      </c>
      <c r="C20" s="39" t="s">
        <v>8</v>
      </c>
      <c r="D20" s="33" t="s">
        <v>15</v>
      </c>
      <c r="E20" s="3">
        <v>1</v>
      </c>
      <c r="F20" s="4" t="s">
        <v>25</v>
      </c>
      <c r="G20" s="44">
        <v>0.1</v>
      </c>
      <c r="H20" s="17"/>
      <c r="I20" s="43">
        <v>5</v>
      </c>
      <c r="J20" s="43">
        <f>I20*$G$20</f>
        <v>0.5</v>
      </c>
      <c r="L20" s="43">
        <v>3</v>
      </c>
      <c r="M20" s="43">
        <f>L20*$G$20</f>
        <v>0.30000000000000004</v>
      </c>
      <c r="O20" s="43">
        <v>5</v>
      </c>
      <c r="P20" s="43">
        <f>O20*$G$20</f>
        <v>0.5</v>
      </c>
      <c r="R20" s="43">
        <v>5</v>
      </c>
      <c r="S20" s="43">
        <f>R20*$G$20</f>
        <v>0.5</v>
      </c>
      <c r="U20" s="43">
        <v>5</v>
      </c>
      <c r="V20" s="43">
        <f>U20*$G$20</f>
        <v>0.5</v>
      </c>
      <c r="X20" s="43">
        <v>3</v>
      </c>
      <c r="Y20" s="43">
        <f>X20*$G$20</f>
        <v>0.30000000000000004</v>
      </c>
      <c r="AA20" s="43">
        <v>4</v>
      </c>
      <c r="AB20" s="43">
        <f>AA20*$G$20</f>
        <v>0.4</v>
      </c>
      <c r="AD20" s="43">
        <v>3</v>
      </c>
      <c r="AE20" s="43">
        <f>AD20*$G$20</f>
        <v>0.30000000000000004</v>
      </c>
      <c r="AG20" s="43">
        <v>2</v>
      </c>
      <c r="AH20" s="43">
        <f>AG20*$G$20</f>
        <v>0.2</v>
      </c>
      <c r="AJ20" s="43">
        <v>3</v>
      </c>
      <c r="AK20" s="43">
        <f>AJ20*$G$20</f>
        <v>0.30000000000000004</v>
      </c>
      <c r="AM20" s="43">
        <v>5</v>
      </c>
      <c r="AN20" s="43">
        <f>AM20*$G$20</f>
        <v>0.5</v>
      </c>
      <c r="AP20" s="43">
        <v>2</v>
      </c>
      <c r="AQ20" s="43">
        <f>AP20*$G$20</f>
        <v>0.2</v>
      </c>
      <c r="AS20" s="43">
        <v>3</v>
      </c>
      <c r="AT20" s="43">
        <f>AS20*$G$20</f>
        <v>0.30000000000000004</v>
      </c>
      <c r="AV20" s="43">
        <v>2</v>
      </c>
      <c r="AW20" s="43">
        <f>AV20*$G$20</f>
        <v>0.2</v>
      </c>
      <c r="AY20" s="43">
        <v>2</v>
      </c>
      <c r="AZ20" s="43">
        <f>AY20*$G$20</f>
        <v>0.2</v>
      </c>
      <c r="BB20" s="43">
        <v>2</v>
      </c>
      <c r="BC20" s="43">
        <f>BB20*$G$20</f>
        <v>0.2</v>
      </c>
      <c r="BE20" s="43">
        <v>3</v>
      </c>
      <c r="BF20" s="43">
        <f>BE20*$G$20</f>
        <v>0.30000000000000004</v>
      </c>
      <c r="BH20" s="43">
        <v>3</v>
      </c>
      <c r="BI20" s="43">
        <f>BH20*$G$20</f>
        <v>0.30000000000000004</v>
      </c>
      <c r="BK20" s="43">
        <v>1</v>
      </c>
      <c r="BL20" s="43">
        <f>BK20*$G$20</f>
        <v>0.1</v>
      </c>
      <c r="BN20" s="43">
        <v>2</v>
      </c>
      <c r="BO20" s="43">
        <f>BN20*$G$20</f>
        <v>0.2</v>
      </c>
      <c r="BQ20" s="43">
        <v>4</v>
      </c>
      <c r="BR20" s="43">
        <f>BQ20*$G$20</f>
        <v>0.4</v>
      </c>
      <c r="BT20" s="43">
        <v>4</v>
      </c>
      <c r="BU20" s="43">
        <f>BT20*$G$20</f>
        <v>0.4</v>
      </c>
    </row>
    <row r="21" spans="2:73" x14ac:dyDescent="0.4">
      <c r="B21" s="37"/>
      <c r="C21" s="40"/>
      <c r="D21" s="34"/>
      <c r="E21" s="5">
        <v>2</v>
      </c>
      <c r="F21" s="2" t="s">
        <v>26</v>
      </c>
      <c r="G21" s="45"/>
      <c r="H21" s="17"/>
      <c r="I21" s="43"/>
      <c r="J21" s="43"/>
      <c r="L21" s="43"/>
      <c r="M21" s="43"/>
      <c r="O21" s="43"/>
      <c r="P21" s="43"/>
      <c r="R21" s="43"/>
      <c r="S21" s="43"/>
      <c r="U21" s="43"/>
      <c r="V21" s="43"/>
      <c r="X21" s="43"/>
      <c r="Y21" s="43"/>
      <c r="AA21" s="43"/>
      <c r="AB21" s="43"/>
      <c r="AD21" s="43"/>
      <c r="AE21" s="43"/>
      <c r="AG21" s="43"/>
      <c r="AH21" s="43"/>
      <c r="AJ21" s="43"/>
      <c r="AK21" s="43"/>
      <c r="AM21" s="43"/>
      <c r="AN21" s="43"/>
      <c r="AP21" s="43"/>
      <c r="AQ21" s="43"/>
      <c r="AS21" s="43"/>
      <c r="AT21" s="43"/>
      <c r="AV21" s="43"/>
      <c r="AW21" s="43"/>
      <c r="AY21" s="43"/>
      <c r="AZ21" s="43"/>
      <c r="BB21" s="43"/>
      <c r="BC21" s="43"/>
      <c r="BE21" s="43"/>
      <c r="BF21" s="43"/>
      <c r="BH21" s="43"/>
      <c r="BI21" s="43"/>
      <c r="BK21" s="43"/>
      <c r="BL21" s="43"/>
      <c r="BN21" s="43"/>
      <c r="BO21" s="43"/>
      <c r="BQ21" s="43"/>
      <c r="BR21" s="43"/>
      <c r="BT21" s="43"/>
      <c r="BU21" s="43"/>
    </row>
    <row r="22" spans="2:73" x14ac:dyDescent="0.4">
      <c r="B22" s="37"/>
      <c r="C22" s="40"/>
      <c r="D22" s="34"/>
      <c r="E22" s="6">
        <v>3</v>
      </c>
      <c r="F22" s="2" t="s">
        <v>52</v>
      </c>
      <c r="G22" s="45"/>
      <c r="H22" s="17"/>
      <c r="I22" s="43"/>
      <c r="J22" s="43"/>
      <c r="L22" s="43"/>
      <c r="M22" s="43"/>
      <c r="O22" s="43"/>
      <c r="P22" s="43"/>
      <c r="R22" s="43"/>
      <c r="S22" s="43"/>
      <c r="U22" s="43"/>
      <c r="V22" s="43"/>
      <c r="X22" s="43"/>
      <c r="Y22" s="43"/>
      <c r="AA22" s="43"/>
      <c r="AB22" s="43"/>
      <c r="AD22" s="43"/>
      <c r="AE22" s="43"/>
      <c r="AG22" s="43"/>
      <c r="AH22" s="43"/>
      <c r="AJ22" s="43"/>
      <c r="AK22" s="43"/>
      <c r="AM22" s="43"/>
      <c r="AN22" s="43"/>
      <c r="AP22" s="43"/>
      <c r="AQ22" s="43"/>
      <c r="AS22" s="43"/>
      <c r="AT22" s="43"/>
      <c r="AV22" s="43"/>
      <c r="AW22" s="43"/>
      <c r="AY22" s="43"/>
      <c r="AZ22" s="43"/>
      <c r="BB22" s="43"/>
      <c r="BC22" s="43"/>
      <c r="BE22" s="43"/>
      <c r="BF22" s="43"/>
      <c r="BH22" s="43"/>
      <c r="BI22" s="43"/>
      <c r="BK22" s="43"/>
      <c r="BL22" s="43"/>
      <c r="BN22" s="43"/>
      <c r="BO22" s="43"/>
      <c r="BQ22" s="43"/>
      <c r="BR22" s="43"/>
      <c r="BT22" s="43"/>
      <c r="BU22" s="43"/>
    </row>
    <row r="23" spans="2:73" x14ac:dyDescent="0.4">
      <c r="B23" s="37"/>
      <c r="C23" s="40"/>
      <c r="D23" s="34"/>
      <c r="E23" s="7">
        <v>4</v>
      </c>
      <c r="F23" s="2" t="s">
        <v>51</v>
      </c>
      <c r="G23" s="45"/>
      <c r="H23" s="17"/>
      <c r="I23" s="43"/>
      <c r="J23" s="43"/>
      <c r="L23" s="43"/>
      <c r="M23" s="43"/>
      <c r="O23" s="43"/>
      <c r="P23" s="43"/>
      <c r="R23" s="43"/>
      <c r="S23" s="43"/>
      <c r="U23" s="43"/>
      <c r="V23" s="43"/>
      <c r="X23" s="43"/>
      <c r="Y23" s="43"/>
      <c r="AA23" s="43"/>
      <c r="AB23" s="43"/>
      <c r="AD23" s="43"/>
      <c r="AE23" s="43"/>
      <c r="AG23" s="43"/>
      <c r="AH23" s="43"/>
      <c r="AJ23" s="43"/>
      <c r="AK23" s="43"/>
      <c r="AM23" s="43"/>
      <c r="AN23" s="43"/>
      <c r="AP23" s="43"/>
      <c r="AQ23" s="43"/>
      <c r="AS23" s="43"/>
      <c r="AT23" s="43"/>
      <c r="AV23" s="43"/>
      <c r="AW23" s="43"/>
      <c r="AY23" s="43"/>
      <c r="AZ23" s="43"/>
      <c r="BB23" s="43"/>
      <c r="BC23" s="43"/>
      <c r="BE23" s="43"/>
      <c r="BF23" s="43"/>
      <c r="BH23" s="43"/>
      <c r="BI23" s="43"/>
      <c r="BK23" s="43"/>
      <c r="BL23" s="43"/>
      <c r="BN23" s="43"/>
      <c r="BO23" s="43"/>
      <c r="BQ23" s="43"/>
      <c r="BR23" s="43"/>
      <c r="BT23" s="43"/>
      <c r="BU23" s="43"/>
    </row>
    <row r="24" spans="2:73" ht="19.5" thickBot="1" x14ac:dyDescent="0.45">
      <c r="B24" s="38"/>
      <c r="C24" s="41"/>
      <c r="D24" s="35"/>
      <c r="E24" s="8">
        <v>5</v>
      </c>
      <c r="F24" s="9" t="s">
        <v>50</v>
      </c>
      <c r="G24" s="46"/>
      <c r="H24" s="17"/>
      <c r="I24" s="43"/>
      <c r="J24" s="43"/>
      <c r="L24" s="43"/>
      <c r="M24" s="43"/>
      <c r="O24" s="43"/>
      <c r="P24" s="43"/>
      <c r="R24" s="43"/>
      <c r="S24" s="43"/>
      <c r="U24" s="43"/>
      <c r="V24" s="43"/>
      <c r="X24" s="43"/>
      <c r="Y24" s="43"/>
      <c r="AA24" s="43"/>
      <c r="AB24" s="43"/>
      <c r="AD24" s="43"/>
      <c r="AE24" s="43"/>
      <c r="AG24" s="43"/>
      <c r="AH24" s="43"/>
      <c r="AJ24" s="43"/>
      <c r="AK24" s="43"/>
      <c r="AM24" s="43"/>
      <c r="AN24" s="43"/>
      <c r="AP24" s="43"/>
      <c r="AQ24" s="43"/>
      <c r="AS24" s="43"/>
      <c r="AT24" s="43"/>
      <c r="AV24" s="43"/>
      <c r="AW24" s="43"/>
      <c r="AY24" s="43"/>
      <c r="AZ24" s="43"/>
      <c r="BB24" s="43"/>
      <c r="BC24" s="43"/>
      <c r="BE24" s="43"/>
      <c r="BF24" s="43"/>
      <c r="BH24" s="43"/>
      <c r="BI24" s="43"/>
      <c r="BK24" s="43"/>
      <c r="BL24" s="43"/>
      <c r="BN24" s="43"/>
      <c r="BO24" s="43"/>
      <c r="BQ24" s="43"/>
      <c r="BR24" s="43"/>
      <c r="BT24" s="43"/>
      <c r="BU24" s="43"/>
    </row>
    <row r="25" spans="2:73" x14ac:dyDescent="0.4">
      <c r="B25" s="36">
        <v>5</v>
      </c>
      <c r="C25" s="39" t="s">
        <v>9</v>
      </c>
      <c r="D25" s="33" t="s">
        <v>16</v>
      </c>
      <c r="E25" s="3">
        <v>1</v>
      </c>
      <c r="F25" s="4" t="s">
        <v>27</v>
      </c>
      <c r="G25" s="44">
        <v>0.1</v>
      </c>
      <c r="H25" s="17"/>
      <c r="I25" s="43">
        <v>5</v>
      </c>
      <c r="J25" s="43">
        <f>I25*$G$25</f>
        <v>0.5</v>
      </c>
      <c r="L25" s="43">
        <v>4</v>
      </c>
      <c r="M25" s="43">
        <f>L25*$G$25</f>
        <v>0.4</v>
      </c>
      <c r="O25" s="43">
        <v>5</v>
      </c>
      <c r="P25" s="43">
        <f>O25*$G$25</f>
        <v>0.5</v>
      </c>
      <c r="R25" s="43">
        <v>5</v>
      </c>
      <c r="S25" s="43">
        <f>R25*$G$25</f>
        <v>0.5</v>
      </c>
      <c r="U25" s="43">
        <v>5</v>
      </c>
      <c r="V25" s="43">
        <f>U25*$G$25</f>
        <v>0.5</v>
      </c>
      <c r="X25" s="43">
        <v>3</v>
      </c>
      <c r="Y25" s="43">
        <f>X25*$G$25</f>
        <v>0.30000000000000004</v>
      </c>
      <c r="AA25" s="43">
        <v>5</v>
      </c>
      <c r="AB25" s="43">
        <f>AA25*$G$25</f>
        <v>0.5</v>
      </c>
      <c r="AD25" s="43">
        <v>5</v>
      </c>
      <c r="AE25" s="43">
        <f>AD25*$G$25</f>
        <v>0.5</v>
      </c>
      <c r="AG25" s="43">
        <v>5</v>
      </c>
      <c r="AH25" s="43">
        <f>AG25*$G$25</f>
        <v>0.5</v>
      </c>
      <c r="AJ25" s="43">
        <v>5</v>
      </c>
      <c r="AK25" s="43">
        <f>AJ25*$G$25</f>
        <v>0.5</v>
      </c>
      <c r="AM25" s="43">
        <v>5</v>
      </c>
      <c r="AN25" s="43">
        <f>AM25*$G$25</f>
        <v>0.5</v>
      </c>
      <c r="AP25" s="43">
        <v>5</v>
      </c>
      <c r="AQ25" s="43">
        <f>AP25*$G$25</f>
        <v>0.5</v>
      </c>
      <c r="AS25" s="43">
        <v>5</v>
      </c>
      <c r="AT25" s="43">
        <f>AS25*$G$25</f>
        <v>0.5</v>
      </c>
      <c r="AV25" s="43">
        <v>4</v>
      </c>
      <c r="AW25" s="43">
        <f>AV25*$G$25</f>
        <v>0.4</v>
      </c>
      <c r="AY25" s="43">
        <v>5</v>
      </c>
      <c r="AZ25" s="43">
        <f>AY25*$G$25</f>
        <v>0.5</v>
      </c>
      <c r="BB25" s="43">
        <v>5</v>
      </c>
      <c r="BC25" s="43">
        <f>BB25*$G$25</f>
        <v>0.5</v>
      </c>
      <c r="BE25" s="43">
        <v>5</v>
      </c>
      <c r="BF25" s="43">
        <f>BE25*$G$25</f>
        <v>0.5</v>
      </c>
      <c r="BH25" s="43">
        <v>5</v>
      </c>
      <c r="BI25" s="43">
        <f>BH25*$G$25</f>
        <v>0.5</v>
      </c>
      <c r="BK25" s="43">
        <v>5</v>
      </c>
      <c r="BL25" s="43">
        <f>BK25*$G$25</f>
        <v>0.5</v>
      </c>
      <c r="BN25" s="43">
        <v>5</v>
      </c>
      <c r="BO25" s="43">
        <f>BN25*$G$25</f>
        <v>0.5</v>
      </c>
      <c r="BQ25" s="43">
        <v>5</v>
      </c>
      <c r="BR25" s="43">
        <f>BQ25*$G$25</f>
        <v>0.5</v>
      </c>
      <c r="BT25" s="43">
        <v>5</v>
      </c>
      <c r="BU25" s="43">
        <f>BT25*$G$25</f>
        <v>0.5</v>
      </c>
    </row>
    <row r="26" spans="2:73" x14ac:dyDescent="0.4">
      <c r="B26" s="37"/>
      <c r="C26" s="40"/>
      <c r="D26" s="34"/>
      <c r="E26" s="5">
        <v>2</v>
      </c>
      <c r="F26" s="2" t="s">
        <v>28</v>
      </c>
      <c r="G26" s="45"/>
      <c r="H26" s="17"/>
      <c r="I26" s="43"/>
      <c r="J26" s="43"/>
      <c r="L26" s="43"/>
      <c r="M26" s="43"/>
      <c r="O26" s="43"/>
      <c r="P26" s="43"/>
      <c r="R26" s="43"/>
      <c r="S26" s="43"/>
      <c r="U26" s="43"/>
      <c r="V26" s="43"/>
      <c r="X26" s="43"/>
      <c r="Y26" s="43"/>
      <c r="AA26" s="43"/>
      <c r="AB26" s="43"/>
      <c r="AD26" s="43"/>
      <c r="AE26" s="43"/>
      <c r="AG26" s="43"/>
      <c r="AH26" s="43"/>
      <c r="AJ26" s="43"/>
      <c r="AK26" s="43"/>
      <c r="AM26" s="43"/>
      <c r="AN26" s="43"/>
      <c r="AP26" s="43"/>
      <c r="AQ26" s="43"/>
      <c r="AS26" s="43"/>
      <c r="AT26" s="43"/>
      <c r="AV26" s="43"/>
      <c r="AW26" s="43"/>
      <c r="AY26" s="43"/>
      <c r="AZ26" s="43"/>
      <c r="BB26" s="43"/>
      <c r="BC26" s="43"/>
      <c r="BE26" s="43"/>
      <c r="BF26" s="43"/>
      <c r="BH26" s="43"/>
      <c r="BI26" s="43"/>
      <c r="BK26" s="43"/>
      <c r="BL26" s="43"/>
      <c r="BN26" s="43"/>
      <c r="BO26" s="43"/>
      <c r="BQ26" s="43"/>
      <c r="BR26" s="43"/>
      <c r="BT26" s="43"/>
      <c r="BU26" s="43"/>
    </row>
    <row r="27" spans="2:73" x14ac:dyDescent="0.4">
      <c r="B27" s="37"/>
      <c r="C27" s="40"/>
      <c r="D27" s="34"/>
      <c r="E27" s="6">
        <v>3</v>
      </c>
      <c r="F27" s="2" t="s">
        <v>29</v>
      </c>
      <c r="G27" s="45"/>
      <c r="H27" s="17"/>
      <c r="I27" s="43"/>
      <c r="J27" s="43"/>
      <c r="L27" s="43"/>
      <c r="M27" s="43"/>
      <c r="O27" s="43"/>
      <c r="P27" s="43"/>
      <c r="R27" s="43"/>
      <c r="S27" s="43"/>
      <c r="U27" s="43"/>
      <c r="V27" s="43"/>
      <c r="X27" s="43"/>
      <c r="Y27" s="43"/>
      <c r="AA27" s="43"/>
      <c r="AB27" s="43"/>
      <c r="AD27" s="43"/>
      <c r="AE27" s="43"/>
      <c r="AG27" s="43"/>
      <c r="AH27" s="43"/>
      <c r="AJ27" s="43"/>
      <c r="AK27" s="43"/>
      <c r="AM27" s="43"/>
      <c r="AN27" s="43"/>
      <c r="AP27" s="43"/>
      <c r="AQ27" s="43"/>
      <c r="AS27" s="43"/>
      <c r="AT27" s="43"/>
      <c r="AV27" s="43"/>
      <c r="AW27" s="43"/>
      <c r="AY27" s="43"/>
      <c r="AZ27" s="43"/>
      <c r="BB27" s="43"/>
      <c r="BC27" s="43"/>
      <c r="BE27" s="43"/>
      <c r="BF27" s="43"/>
      <c r="BH27" s="43"/>
      <c r="BI27" s="43"/>
      <c r="BK27" s="43"/>
      <c r="BL27" s="43"/>
      <c r="BN27" s="43"/>
      <c r="BO27" s="43"/>
      <c r="BQ27" s="43"/>
      <c r="BR27" s="43"/>
      <c r="BT27" s="43"/>
      <c r="BU27" s="43"/>
    </row>
    <row r="28" spans="2:73" x14ac:dyDescent="0.4">
      <c r="B28" s="37"/>
      <c r="C28" s="40"/>
      <c r="D28" s="34"/>
      <c r="E28" s="7">
        <v>4</v>
      </c>
      <c r="F28" s="2" t="s">
        <v>30</v>
      </c>
      <c r="G28" s="45"/>
      <c r="H28" s="17"/>
      <c r="I28" s="43"/>
      <c r="J28" s="43"/>
      <c r="L28" s="43"/>
      <c r="M28" s="43"/>
      <c r="O28" s="43"/>
      <c r="P28" s="43"/>
      <c r="R28" s="43"/>
      <c r="S28" s="43"/>
      <c r="U28" s="43"/>
      <c r="V28" s="43"/>
      <c r="X28" s="43"/>
      <c r="Y28" s="43"/>
      <c r="AA28" s="43"/>
      <c r="AB28" s="43"/>
      <c r="AD28" s="43"/>
      <c r="AE28" s="43"/>
      <c r="AG28" s="43"/>
      <c r="AH28" s="43"/>
      <c r="AJ28" s="43"/>
      <c r="AK28" s="43"/>
      <c r="AM28" s="43"/>
      <c r="AN28" s="43"/>
      <c r="AP28" s="43"/>
      <c r="AQ28" s="43"/>
      <c r="AS28" s="43"/>
      <c r="AT28" s="43"/>
      <c r="AV28" s="43"/>
      <c r="AW28" s="43"/>
      <c r="AY28" s="43"/>
      <c r="AZ28" s="43"/>
      <c r="BB28" s="43"/>
      <c r="BC28" s="43"/>
      <c r="BE28" s="43"/>
      <c r="BF28" s="43"/>
      <c r="BH28" s="43"/>
      <c r="BI28" s="43"/>
      <c r="BK28" s="43"/>
      <c r="BL28" s="43"/>
      <c r="BN28" s="43"/>
      <c r="BO28" s="43"/>
      <c r="BQ28" s="43"/>
      <c r="BR28" s="43"/>
      <c r="BT28" s="43"/>
      <c r="BU28" s="43"/>
    </row>
    <row r="29" spans="2:73" ht="19.5" thickBot="1" x14ac:dyDescent="0.45">
      <c r="B29" s="38"/>
      <c r="C29" s="41"/>
      <c r="D29" s="35"/>
      <c r="E29" s="8">
        <v>5</v>
      </c>
      <c r="F29" s="9" t="s">
        <v>53</v>
      </c>
      <c r="G29" s="46"/>
      <c r="H29" s="17"/>
      <c r="I29" s="43"/>
      <c r="J29" s="43"/>
      <c r="L29" s="43"/>
      <c r="M29" s="43"/>
      <c r="O29" s="43"/>
      <c r="P29" s="43"/>
      <c r="R29" s="43"/>
      <c r="S29" s="43"/>
      <c r="U29" s="43"/>
      <c r="V29" s="43"/>
      <c r="X29" s="43"/>
      <c r="Y29" s="43"/>
      <c r="AA29" s="43"/>
      <c r="AB29" s="43"/>
      <c r="AD29" s="43"/>
      <c r="AE29" s="43"/>
      <c r="AG29" s="43"/>
      <c r="AH29" s="43"/>
      <c r="AJ29" s="43"/>
      <c r="AK29" s="43"/>
      <c r="AM29" s="43"/>
      <c r="AN29" s="43"/>
      <c r="AP29" s="43"/>
      <c r="AQ29" s="43"/>
      <c r="AS29" s="43"/>
      <c r="AT29" s="43"/>
      <c r="AV29" s="43"/>
      <c r="AW29" s="43"/>
      <c r="AY29" s="43"/>
      <c r="AZ29" s="43"/>
      <c r="BB29" s="43"/>
      <c r="BC29" s="43"/>
      <c r="BE29" s="43"/>
      <c r="BF29" s="43"/>
      <c r="BH29" s="43"/>
      <c r="BI29" s="43"/>
      <c r="BK29" s="43"/>
      <c r="BL29" s="43"/>
      <c r="BN29" s="43"/>
      <c r="BO29" s="43"/>
      <c r="BQ29" s="43"/>
      <c r="BR29" s="43"/>
      <c r="BT29" s="43"/>
      <c r="BU29" s="43"/>
    </row>
    <row r="30" spans="2:73" x14ac:dyDescent="0.4">
      <c r="B30" s="36">
        <v>6</v>
      </c>
      <c r="C30" s="39" t="s">
        <v>10</v>
      </c>
      <c r="D30" s="33" t="s">
        <v>17</v>
      </c>
      <c r="E30" s="3">
        <v>1</v>
      </c>
      <c r="F30" s="4" t="s">
        <v>31</v>
      </c>
      <c r="G30" s="44">
        <v>7.0000000000000007E-2</v>
      </c>
      <c r="H30" s="17"/>
      <c r="I30" s="43">
        <v>4</v>
      </c>
      <c r="J30" s="43">
        <f>I30*$G$30</f>
        <v>0.28000000000000003</v>
      </c>
      <c r="L30" s="43">
        <v>3</v>
      </c>
      <c r="M30" s="43">
        <f>L30*$G$30</f>
        <v>0.21000000000000002</v>
      </c>
      <c r="O30" s="43">
        <v>4</v>
      </c>
      <c r="P30" s="43">
        <f>O30*$G$30</f>
        <v>0.28000000000000003</v>
      </c>
      <c r="R30" s="43">
        <v>4</v>
      </c>
      <c r="S30" s="43">
        <f>R30*$G$30</f>
        <v>0.28000000000000003</v>
      </c>
      <c r="U30" s="43">
        <v>3</v>
      </c>
      <c r="V30" s="43">
        <f>U30*$G$30</f>
        <v>0.21000000000000002</v>
      </c>
      <c r="X30" s="43">
        <v>3</v>
      </c>
      <c r="Y30" s="43">
        <f>X30*$G$30</f>
        <v>0.21000000000000002</v>
      </c>
      <c r="AA30" s="43">
        <v>4</v>
      </c>
      <c r="AB30" s="43">
        <f>AA30*$G$30</f>
        <v>0.28000000000000003</v>
      </c>
      <c r="AD30" s="43">
        <v>4</v>
      </c>
      <c r="AE30" s="43">
        <f>AD30*$G$30</f>
        <v>0.28000000000000003</v>
      </c>
      <c r="AG30" s="43">
        <v>3</v>
      </c>
      <c r="AH30" s="43">
        <f>AG30*$G$30</f>
        <v>0.21000000000000002</v>
      </c>
      <c r="AJ30" s="43">
        <v>4</v>
      </c>
      <c r="AK30" s="43">
        <f>AJ30*$G$30</f>
        <v>0.28000000000000003</v>
      </c>
      <c r="AM30" s="43">
        <v>4</v>
      </c>
      <c r="AN30" s="43">
        <f>AM30*$G$30</f>
        <v>0.28000000000000003</v>
      </c>
      <c r="AP30" s="43">
        <v>1</v>
      </c>
      <c r="AQ30" s="43">
        <f>AP30*$G$30</f>
        <v>7.0000000000000007E-2</v>
      </c>
      <c r="AS30" s="43">
        <v>3</v>
      </c>
      <c r="AT30" s="43">
        <f>AS30*$G$30</f>
        <v>0.21000000000000002</v>
      </c>
      <c r="AV30" s="43">
        <v>2</v>
      </c>
      <c r="AW30" s="43">
        <f>AV30*$G$30</f>
        <v>0.14000000000000001</v>
      </c>
      <c r="AY30" s="43">
        <v>4</v>
      </c>
      <c r="AZ30" s="43">
        <f>AY30*$G$30</f>
        <v>0.28000000000000003</v>
      </c>
      <c r="BB30" s="43">
        <v>4</v>
      </c>
      <c r="BC30" s="43">
        <f>BB30*$G$30</f>
        <v>0.28000000000000003</v>
      </c>
      <c r="BE30" s="43">
        <v>2</v>
      </c>
      <c r="BF30" s="43">
        <f>BE30*$G$30</f>
        <v>0.14000000000000001</v>
      </c>
      <c r="BH30" s="43">
        <v>2</v>
      </c>
      <c r="BI30" s="43">
        <f>BH30*$G$30</f>
        <v>0.14000000000000001</v>
      </c>
      <c r="BK30" s="43">
        <v>1</v>
      </c>
      <c r="BL30" s="43">
        <f>BK30*$G$30</f>
        <v>7.0000000000000007E-2</v>
      </c>
      <c r="BN30" s="43">
        <v>3</v>
      </c>
      <c r="BO30" s="43">
        <f>BN30*$G$30</f>
        <v>0.21000000000000002</v>
      </c>
      <c r="BQ30" s="43">
        <v>4</v>
      </c>
      <c r="BR30" s="43">
        <f>BQ30*$G$30</f>
        <v>0.28000000000000003</v>
      </c>
      <c r="BT30" s="43">
        <v>4</v>
      </c>
      <c r="BU30" s="43">
        <f>BT30*$G$30</f>
        <v>0.28000000000000003</v>
      </c>
    </row>
    <row r="31" spans="2:73" x14ac:dyDescent="0.4">
      <c r="B31" s="37"/>
      <c r="C31" s="40"/>
      <c r="D31" s="34"/>
      <c r="E31" s="5">
        <v>2</v>
      </c>
      <c r="F31" s="2" t="s">
        <v>32</v>
      </c>
      <c r="G31" s="45"/>
      <c r="H31" s="17"/>
      <c r="I31" s="43"/>
      <c r="J31" s="43"/>
      <c r="L31" s="43"/>
      <c r="M31" s="43"/>
      <c r="O31" s="43"/>
      <c r="P31" s="43"/>
      <c r="R31" s="43"/>
      <c r="S31" s="43"/>
      <c r="U31" s="43"/>
      <c r="V31" s="43"/>
      <c r="X31" s="43"/>
      <c r="Y31" s="43"/>
      <c r="AA31" s="43"/>
      <c r="AB31" s="43"/>
      <c r="AD31" s="43"/>
      <c r="AE31" s="43"/>
      <c r="AG31" s="43"/>
      <c r="AH31" s="43"/>
      <c r="AJ31" s="43"/>
      <c r="AK31" s="43"/>
      <c r="AM31" s="43"/>
      <c r="AN31" s="43"/>
      <c r="AP31" s="43"/>
      <c r="AQ31" s="43"/>
      <c r="AS31" s="43"/>
      <c r="AT31" s="43"/>
      <c r="AV31" s="43"/>
      <c r="AW31" s="43"/>
      <c r="AY31" s="43"/>
      <c r="AZ31" s="43"/>
      <c r="BB31" s="43"/>
      <c r="BC31" s="43"/>
      <c r="BE31" s="43"/>
      <c r="BF31" s="43"/>
      <c r="BH31" s="43"/>
      <c r="BI31" s="43"/>
      <c r="BK31" s="43"/>
      <c r="BL31" s="43"/>
      <c r="BN31" s="43"/>
      <c r="BO31" s="43"/>
      <c r="BQ31" s="43"/>
      <c r="BR31" s="43"/>
      <c r="BT31" s="43"/>
      <c r="BU31" s="43"/>
    </row>
    <row r="32" spans="2:73" x14ac:dyDescent="0.4">
      <c r="B32" s="37"/>
      <c r="C32" s="40"/>
      <c r="D32" s="34"/>
      <c r="E32" s="6">
        <v>3</v>
      </c>
      <c r="F32" s="2" t="s">
        <v>33</v>
      </c>
      <c r="G32" s="45"/>
      <c r="H32" s="17"/>
      <c r="I32" s="43"/>
      <c r="J32" s="43"/>
      <c r="L32" s="43"/>
      <c r="M32" s="43"/>
      <c r="O32" s="43"/>
      <c r="P32" s="43"/>
      <c r="R32" s="43"/>
      <c r="S32" s="43"/>
      <c r="U32" s="43"/>
      <c r="V32" s="43"/>
      <c r="X32" s="43"/>
      <c r="Y32" s="43"/>
      <c r="AA32" s="43"/>
      <c r="AB32" s="43"/>
      <c r="AD32" s="43"/>
      <c r="AE32" s="43"/>
      <c r="AG32" s="43"/>
      <c r="AH32" s="43"/>
      <c r="AJ32" s="43"/>
      <c r="AK32" s="43"/>
      <c r="AM32" s="43"/>
      <c r="AN32" s="43"/>
      <c r="AP32" s="43"/>
      <c r="AQ32" s="43"/>
      <c r="AS32" s="43"/>
      <c r="AT32" s="43"/>
      <c r="AV32" s="43"/>
      <c r="AW32" s="43"/>
      <c r="AY32" s="43"/>
      <c r="AZ32" s="43"/>
      <c r="BB32" s="43"/>
      <c r="BC32" s="43"/>
      <c r="BE32" s="43"/>
      <c r="BF32" s="43"/>
      <c r="BH32" s="43"/>
      <c r="BI32" s="43"/>
      <c r="BK32" s="43"/>
      <c r="BL32" s="43"/>
      <c r="BN32" s="43"/>
      <c r="BO32" s="43"/>
      <c r="BQ32" s="43"/>
      <c r="BR32" s="43"/>
      <c r="BT32" s="43"/>
      <c r="BU32" s="43"/>
    </row>
    <row r="33" spans="2:73" x14ac:dyDescent="0.4">
      <c r="B33" s="37"/>
      <c r="C33" s="40"/>
      <c r="D33" s="34"/>
      <c r="E33" s="7">
        <v>4</v>
      </c>
      <c r="F33" s="2" t="s">
        <v>34</v>
      </c>
      <c r="G33" s="45"/>
      <c r="H33" s="17"/>
      <c r="I33" s="43"/>
      <c r="J33" s="43"/>
      <c r="L33" s="43"/>
      <c r="M33" s="43"/>
      <c r="O33" s="43"/>
      <c r="P33" s="43"/>
      <c r="R33" s="43"/>
      <c r="S33" s="43"/>
      <c r="U33" s="43"/>
      <c r="V33" s="43"/>
      <c r="X33" s="43"/>
      <c r="Y33" s="43"/>
      <c r="AA33" s="43"/>
      <c r="AB33" s="43"/>
      <c r="AD33" s="43"/>
      <c r="AE33" s="43"/>
      <c r="AG33" s="43"/>
      <c r="AH33" s="43"/>
      <c r="AJ33" s="43"/>
      <c r="AK33" s="43"/>
      <c r="AM33" s="43"/>
      <c r="AN33" s="43"/>
      <c r="AP33" s="43"/>
      <c r="AQ33" s="43"/>
      <c r="AS33" s="43"/>
      <c r="AT33" s="43"/>
      <c r="AV33" s="43"/>
      <c r="AW33" s="43"/>
      <c r="AY33" s="43"/>
      <c r="AZ33" s="43"/>
      <c r="BB33" s="43"/>
      <c r="BC33" s="43"/>
      <c r="BE33" s="43"/>
      <c r="BF33" s="43"/>
      <c r="BH33" s="43"/>
      <c r="BI33" s="43"/>
      <c r="BK33" s="43"/>
      <c r="BL33" s="43"/>
      <c r="BN33" s="43"/>
      <c r="BO33" s="43"/>
      <c r="BQ33" s="43"/>
      <c r="BR33" s="43"/>
      <c r="BT33" s="43"/>
      <c r="BU33" s="43"/>
    </row>
    <row r="34" spans="2:73" ht="19.5" thickBot="1" x14ac:dyDescent="0.45">
      <c r="B34" s="38"/>
      <c r="C34" s="41"/>
      <c r="D34" s="35"/>
      <c r="E34" s="8">
        <v>5</v>
      </c>
      <c r="F34" s="9" t="s">
        <v>35</v>
      </c>
      <c r="G34" s="46"/>
      <c r="H34" s="17"/>
      <c r="I34" s="43"/>
      <c r="J34" s="43"/>
      <c r="L34" s="43"/>
      <c r="M34" s="43"/>
      <c r="O34" s="43"/>
      <c r="P34" s="43"/>
      <c r="R34" s="43"/>
      <c r="S34" s="43"/>
      <c r="U34" s="43"/>
      <c r="V34" s="43"/>
      <c r="X34" s="43"/>
      <c r="Y34" s="43"/>
      <c r="AA34" s="43"/>
      <c r="AB34" s="43"/>
      <c r="AD34" s="43"/>
      <c r="AE34" s="43"/>
      <c r="AG34" s="43"/>
      <c r="AH34" s="43"/>
      <c r="AJ34" s="43"/>
      <c r="AK34" s="43"/>
      <c r="AM34" s="43"/>
      <c r="AN34" s="43"/>
      <c r="AP34" s="43"/>
      <c r="AQ34" s="43"/>
      <c r="AS34" s="43"/>
      <c r="AT34" s="43"/>
      <c r="AV34" s="43"/>
      <c r="AW34" s="43"/>
      <c r="AY34" s="43"/>
      <c r="AZ34" s="43"/>
      <c r="BB34" s="43"/>
      <c r="BC34" s="43"/>
      <c r="BE34" s="43"/>
      <c r="BF34" s="43"/>
      <c r="BH34" s="43"/>
      <c r="BI34" s="43"/>
      <c r="BK34" s="43"/>
      <c r="BL34" s="43"/>
      <c r="BN34" s="43"/>
      <c r="BO34" s="43"/>
      <c r="BQ34" s="43"/>
      <c r="BR34" s="43"/>
      <c r="BT34" s="43"/>
      <c r="BU34" s="43"/>
    </row>
    <row r="35" spans="2:73" x14ac:dyDescent="0.4">
      <c r="B35" s="36">
        <v>7</v>
      </c>
      <c r="C35" s="39" t="s">
        <v>11</v>
      </c>
      <c r="D35" s="33" t="s">
        <v>18</v>
      </c>
      <c r="E35" s="3">
        <v>1</v>
      </c>
      <c r="F35" s="4" t="s">
        <v>36</v>
      </c>
      <c r="G35" s="44">
        <v>0.03</v>
      </c>
      <c r="H35" s="17"/>
      <c r="I35" s="43">
        <v>3</v>
      </c>
      <c r="J35" s="43">
        <f>I35*$G$35</f>
        <v>0.09</v>
      </c>
      <c r="L35" s="43">
        <v>1</v>
      </c>
      <c r="M35" s="43">
        <f>L35*$G$35</f>
        <v>0.03</v>
      </c>
      <c r="O35" s="43">
        <v>2</v>
      </c>
      <c r="P35" s="43">
        <f>O35*$G$35</f>
        <v>0.06</v>
      </c>
      <c r="R35" s="43">
        <v>2</v>
      </c>
      <c r="S35" s="43">
        <f>R35*$G$35</f>
        <v>0.06</v>
      </c>
      <c r="U35" s="43">
        <v>2</v>
      </c>
      <c r="V35" s="43">
        <f>U35*$G$35</f>
        <v>0.06</v>
      </c>
      <c r="X35" s="43">
        <v>1</v>
      </c>
      <c r="Y35" s="43">
        <f>X35*$G$35</f>
        <v>0.03</v>
      </c>
      <c r="AA35" s="43">
        <v>2</v>
      </c>
      <c r="AB35" s="43">
        <f>AA35*$G$35</f>
        <v>0.06</v>
      </c>
      <c r="AD35" s="43">
        <v>3</v>
      </c>
      <c r="AE35" s="43">
        <f>AD35*$G$35</f>
        <v>0.09</v>
      </c>
      <c r="AG35" s="43">
        <v>2</v>
      </c>
      <c r="AH35" s="43">
        <f>AG35*$G$35</f>
        <v>0.06</v>
      </c>
      <c r="AJ35" s="43">
        <v>2</v>
      </c>
      <c r="AK35" s="43">
        <f>AJ35*$G$35</f>
        <v>0.06</v>
      </c>
      <c r="AM35" s="43">
        <v>3</v>
      </c>
      <c r="AN35" s="43">
        <f>AM35*$G$35</f>
        <v>0.09</v>
      </c>
      <c r="AP35" s="43">
        <v>1</v>
      </c>
      <c r="AQ35" s="43">
        <f>AP35*$G$35</f>
        <v>0.03</v>
      </c>
      <c r="AS35" s="43">
        <v>3</v>
      </c>
      <c r="AT35" s="43">
        <f>AS35*$G$35</f>
        <v>0.09</v>
      </c>
      <c r="AV35" s="43">
        <v>1</v>
      </c>
      <c r="AW35" s="43">
        <f>AV35*$G$35</f>
        <v>0.03</v>
      </c>
      <c r="AY35" s="43">
        <v>2</v>
      </c>
      <c r="AZ35" s="43">
        <f>AY35*$G$35</f>
        <v>0.06</v>
      </c>
      <c r="BB35" s="43">
        <v>2</v>
      </c>
      <c r="BC35" s="43">
        <f>BB35*$G$35</f>
        <v>0.06</v>
      </c>
      <c r="BE35" s="43">
        <v>3</v>
      </c>
      <c r="BF35" s="43">
        <f>BE35*$G$35</f>
        <v>0.09</v>
      </c>
      <c r="BH35" s="43">
        <v>3</v>
      </c>
      <c r="BI35" s="43">
        <f>BH35*$G$35</f>
        <v>0.09</v>
      </c>
      <c r="BK35" s="43">
        <v>2</v>
      </c>
      <c r="BL35" s="43">
        <f>BK35*$G$35</f>
        <v>0.06</v>
      </c>
      <c r="BN35" s="43">
        <v>2</v>
      </c>
      <c r="BO35" s="43">
        <f>BN35*$G$35</f>
        <v>0.06</v>
      </c>
      <c r="BQ35" s="43">
        <v>3</v>
      </c>
      <c r="BR35" s="43">
        <f>BQ35*$G$35</f>
        <v>0.09</v>
      </c>
      <c r="BT35" s="43">
        <v>3</v>
      </c>
      <c r="BU35" s="43">
        <f>BT35*$G$35</f>
        <v>0.09</v>
      </c>
    </row>
    <row r="36" spans="2:73" x14ac:dyDescent="0.4">
      <c r="B36" s="37"/>
      <c r="C36" s="40"/>
      <c r="D36" s="34"/>
      <c r="E36" s="5">
        <v>2</v>
      </c>
      <c r="F36" s="2" t="s">
        <v>37</v>
      </c>
      <c r="G36" s="45"/>
      <c r="H36" s="17"/>
      <c r="I36" s="43"/>
      <c r="J36" s="43"/>
      <c r="L36" s="43"/>
      <c r="M36" s="43"/>
      <c r="O36" s="43"/>
      <c r="P36" s="43"/>
      <c r="R36" s="43"/>
      <c r="S36" s="43"/>
      <c r="U36" s="43"/>
      <c r="V36" s="43"/>
      <c r="X36" s="43"/>
      <c r="Y36" s="43"/>
      <c r="AA36" s="43"/>
      <c r="AB36" s="43"/>
      <c r="AD36" s="43"/>
      <c r="AE36" s="43"/>
      <c r="AG36" s="43"/>
      <c r="AH36" s="43"/>
      <c r="AJ36" s="43"/>
      <c r="AK36" s="43"/>
      <c r="AM36" s="43"/>
      <c r="AN36" s="43"/>
      <c r="AP36" s="43"/>
      <c r="AQ36" s="43"/>
      <c r="AS36" s="43"/>
      <c r="AT36" s="43"/>
      <c r="AV36" s="43"/>
      <c r="AW36" s="43"/>
      <c r="AY36" s="43"/>
      <c r="AZ36" s="43"/>
      <c r="BB36" s="43"/>
      <c r="BC36" s="43"/>
      <c r="BE36" s="43"/>
      <c r="BF36" s="43"/>
      <c r="BH36" s="43"/>
      <c r="BI36" s="43"/>
      <c r="BK36" s="43"/>
      <c r="BL36" s="43"/>
      <c r="BN36" s="43"/>
      <c r="BO36" s="43"/>
      <c r="BQ36" s="43"/>
      <c r="BR36" s="43"/>
      <c r="BT36" s="43"/>
      <c r="BU36" s="43"/>
    </row>
    <row r="37" spans="2:73" x14ac:dyDescent="0.4">
      <c r="B37" s="37"/>
      <c r="C37" s="40"/>
      <c r="D37" s="34"/>
      <c r="E37" s="6">
        <v>3</v>
      </c>
      <c r="F37" s="2" t="s">
        <v>38</v>
      </c>
      <c r="G37" s="45"/>
      <c r="H37" s="17"/>
      <c r="I37" s="43"/>
      <c r="J37" s="43"/>
      <c r="L37" s="43"/>
      <c r="M37" s="43"/>
      <c r="O37" s="43"/>
      <c r="P37" s="43"/>
      <c r="R37" s="43"/>
      <c r="S37" s="43"/>
      <c r="U37" s="43"/>
      <c r="V37" s="43"/>
      <c r="X37" s="43"/>
      <c r="Y37" s="43"/>
      <c r="AA37" s="43"/>
      <c r="AB37" s="43"/>
      <c r="AD37" s="43"/>
      <c r="AE37" s="43"/>
      <c r="AG37" s="43"/>
      <c r="AH37" s="43"/>
      <c r="AJ37" s="43"/>
      <c r="AK37" s="43"/>
      <c r="AM37" s="43"/>
      <c r="AN37" s="43"/>
      <c r="AP37" s="43"/>
      <c r="AQ37" s="43"/>
      <c r="AS37" s="43"/>
      <c r="AT37" s="43"/>
      <c r="AV37" s="43"/>
      <c r="AW37" s="43"/>
      <c r="AY37" s="43"/>
      <c r="AZ37" s="43"/>
      <c r="BB37" s="43"/>
      <c r="BC37" s="43"/>
      <c r="BE37" s="43"/>
      <c r="BF37" s="43"/>
      <c r="BH37" s="43"/>
      <c r="BI37" s="43"/>
      <c r="BK37" s="43"/>
      <c r="BL37" s="43"/>
      <c r="BN37" s="43"/>
      <c r="BO37" s="43"/>
      <c r="BQ37" s="43"/>
      <c r="BR37" s="43"/>
      <c r="BT37" s="43"/>
      <c r="BU37" s="43"/>
    </row>
    <row r="38" spans="2:73" x14ac:dyDescent="0.4">
      <c r="B38" s="37"/>
      <c r="C38" s="40"/>
      <c r="D38" s="34"/>
      <c r="E38" s="7">
        <v>4</v>
      </c>
      <c r="F38" s="2" t="s">
        <v>39</v>
      </c>
      <c r="G38" s="45"/>
      <c r="H38" s="17"/>
      <c r="I38" s="43"/>
      <c r="J38" s="43"/>
      <c r="L38" s="43"/>
      <c r="M38" s="43"/>
      <c r="O38" s="43"/>
      <c r="P38" s="43"/>
      <c r="R38" s="43"/>
      <c r="S38" s="43"/>
      <c r="U38" s="43"/>
      <c r="V38" s="43"/>
      <c r="X38" s="43"/>
      <c r="Y38" s="43"/>
      <c r="AA38" s="43"/>
      <c r="AB38" s="43"/>
      <c r="AD38" s="43"/>
      <c r="AE38" s="43"/>
      <c r="AG38" s="43"/>
      <c r="AH38" s="43"/>
      <c r="AJ38" s="43"/>
      <c r="AK38" s="43"/>
      <c r="AM38" s="43"/>
      <c r="AN38" s="43"/>
      <c r="AP38" s="43"/>
      <c r="AQ38" s="43"/>
      <c r="AS38" s="43"/>
      <c r="AT38" s="43"/>
      <c r="AV38" s="43"/>
      <c r="AW38" s="43"/>
      <c r="AY38" s="43"/>
      <c r="AZ38" s="43"/>
      <c r="BB38" s="43"/>
      <c r="BC38" s="43"/>
      <c r="BE38" s="43"/>
      <c r="BF38" s="43"/>
      <c r="BH38" s="43"/>
      <c r="BI38" s="43"/>
      <c r="BK38" s="43"/>
      <c r="BL38" s="43"/>
      <c r="BN38" s="43"/>
      <c r="BO38" s="43"/>
      <c r="BQ38" s="43"/>
      <c r="BR38" s="43"/>
      <c r="BT38" s="43"/>
      <c r="BU38" s="43"/>
    </row>
    <row r="39" spans="2:73" ht="19.5" thickBot="1" x14ac:dyDescent="0.45">
      <c r="B39" s="38"/>
      <c r="C39" s="41"/>
      <c r="D39" s="35"/>
      <c r="E39" s="8">
        <v>5</v>
      </c>
      <c r="F39" s="9" t="s">
        <v>40</v>
      </c>
      <c r="G39" s="46"/>
      <c r="H39" s="17"/>
      <c r="I39" s="43"/>
      <c r="J39" s="43"/>
      <c r="L39" s="43"/>
      <c r="M39" s="43"/>
      <c r="O39" s="43"/>
      <c r="P39" s="43"/>
      <c r="R39" s="43"/>
      <c r="S39" s="43"/>
      <c r="U39" s="43"/>
      <c r="V39" s="43"/>
      <c r="X39" s="43"/>
      <c r="Y39" s="43"/>
      <c r="AA39" s="43"/>
      <c r="AB39" s="43"/>
      <c r="AD39" s="43"/>
      <c r="AE39" s="43"/>
      <c r="AG39" s="43"/>
      <c r="AH39" s="43"/>
      <c r="AJ39" s="43"/>
      <c r="AK39" s="43"/>
      <c r="AM39" s="43"/>
      <c r="AN39" s="43"/>
      <c r="AP39" s="43"/>
      <c r="AQ39" s="43"/>
      <c r="AS39" s="43"/>
      <c r="AT39" s="43"/>
      <c r="AV39" s="43"/>
      <c r="AW39" s="43"/>
      <c r="AY39" s="43"/>
      <c r="AZ39" s="43"/>
      <c r="BB39" s="43"/>
      <c r="BC39" s="43"/>
      <c r="BE39" s="43"/>
      <c r="BF39" s="43"/>
      <c r="BH39" s="43"/>
      <c r="BI39" s="43"/>
      <c r="BK39" s="43"/>
      <c r="BL39" s="43"/>
      <c r="BN39" s="43"/>
      <c r="BO39" s="43"/>
      <c r="BQ39" s="43"/>
      <c r="BR39" s="43"/>
      <c r="BT39" s="43"/>
      <c r="BU39" s="43"/>
    </row>
    <row r="40" spans="2:73" x14ac:dyDescent="0.4">
      <c r="J40" s="15">
        <f>IFERROR(SUM(J5:J39)/(IF(I5&lt;&gt;0,5*$G$5)+IF(I10&lt;&gt;0,5*$G$10)+IF(I15&lt;&gt;0,5*$G$15)+IF(I20&lt;&gt;0,5*$G$20)+IF(I25&lt;&gt;0,5*$G$25)+IF(I30&lt;&gt;0,5*$G$30)+IF(I35&lt;&gt;0,5*$G$35))*10,0)</f>
        <v>6.74</v>
      </c>
      <c r="M40" s="15">
        <f>IFERROR(SUM(M5:M39)/(IF(L5&lt;&gt;0,5*$G$5)+IF(L10&lt;&gt;0,5*$G$10)+IF(L15&lt;&gt;0,5*$G$15)+IF(L20&lt;&gt;0,5*$G$20)+IF(L25&lt;&gt;0,5*$G$25)+IF(L30&lt;&gt;0,5*$G$30)+IF(L35&lt;&gt;0,5*$G$35))*10,0)</f>
        <v>7.4799999999999986</v>
      </c>
      <c r="P40" s="15">
        <f>IFERROR(SUM(P5:P39)/(IF(O5&lt;&gt;0,5*$G$5)+IF(O10&lt;&gt;0,5*$G$10)+IF(O15&lt;&gt;0,5*$G$15)+IF(O20&lt;&gt;0,5*$G$20)+IF(O25&lt;&gt;0,5*$G$25)+IF(O30&lt;&gt;0,5*$G$30)+IF(O35&lt;&gt;0,5*$G$35))*10,0)</f>
        <v>6.9799999999999995</v>
      </c>
      <c r="S40" s="15">
        <f>IFERROR(SUM(S5:S39)/(IF(R5&lt;&gt;0,5*$G$5)+IF(R10&lt;&gt;0,5*$G$10)+IF(R15&lt;&gt;0,5*$G$15)+IF(R20&lt;&gt;0,5*$G$20)+IF(R25&lt;&gt;0,5*$G$25)+IF(R30&lt;&gt;0,5*$G$30)+IF(R35&lt;&gt;0,5*$G$35))*10,0)</f>
        <v>8.08</v>
      </c>
      <c r="V40" s="15">
        <f>IFERROR(SUM(V5:V39)/(IF(U5&lt;&gt;0,5*$G$5)+IF(U10&lt;&gt;0,5*$G$10)+IF(U15&lt;&gt;0,5*$G$15)+IF(U20&lt;&gt;0,5*$G$20)+IF(U25&lt;&gt;0,5*$G$25)+IF(U30&lt;&gt;0,5*$G$30)+IF(U35&lt;&gt;0,5*$G$35))*10,0)</f>
        <v>8.14</v>
      </c>
      <c r="Y40" s="15">
        <f>IFERROR(SUM(Y5:Y39)/(IF(X5&lt;&gt;0,5*$G$5)+IF(X10&lt;&gt;0,5*$G$10)+IF(X15&lt;&gt;0,5*$G$15)+IF(X20&lt;&gt;0,5*$G$20)+IF(X25&lt;&gt;0,5*$G$25)+IF(X30&lt;&gt;0,5*$G$30)+IF(X35&lt;&gt;0,5*$G$35))*10,0)</f>
        <v>6.3799999999999981</v>
      </c>
      <c r="AB40" s="15">
        <f>IFERROR(SUM(AB5:AB39)/(IF(AA5&lt;&gt;0,5*$G$5)+IF(AA10&lt;&gt;0,5*$G$10)+IF(AA15&lt;&gt;0,5*$G$15)+IF(AA20&lt;&gt;0,5*$G$20)+IF(AA25&lt;&gt;0,5*$G$25)+IF(AA30&lt;&gt;0,5*$G$30)+IF(AA35&lt;&gt;0,5*$G$35))*10,0)</f>
        <v>7.78</v>
      </c>
      <c r="AE40" s="15">
        <f>IFERROR(SUM(AE5:AE39)/(IF(AD5&lt;&gt;0,5*$G$5)+IF(AD10&lt;&gt;0,5*$G$10)+IF(AD15&lt;&gt;0,5*$G$15)+IF(AD20&lt;&gt;0,5*$G$20)+IF(AD25&lt;&gt;0,5*$G$25)+IF(AD30&lt;&gt;0,5*$G$30)+IF(AD35&lt;&gt;0,5*$G$35))*10,0)</f>
        <v>7.6400000000000006</v>
      </c>
      <c r="AH40" s="15">
        <f>IFERROR(SUM(AH5:AH39)/(IF(AG5&lt;&gt;0,5*$G$5)+IF(AG10&lt;&gt;0,5*$G$10)+IF(AG15&lt;&gt;0,5*$G$15)+IF(AG20&lt;&gt;0,5*$G$20)+IF(AG25&lt;&gt;0,5*$G$25)+IF(AG30&lt;&gt;0,5*$G$30)+IF(AG35&lt;&gt;0,5*$G$35))*10,0)</f>
        <v>7.7400000000000011</v>
      </c>
      <c r="AK40" s="15">
        <f>IFERROR(SUM(AK5:AK39)/(IF(AJ5&lt;&gt;0,5*$G$5)+IF(AJ10&lt;&gt;0,5*$G$10)+IF(AJ15&lt;&gt;0,5*$G$15)+IF(AJ20&lt;&gt;0,5*$G$20)+IF(AJ25&lt;&gt;0,5*$G$25)+IF(AJ30&lt;&gt;0,5*$G$30)+IF(AJ35&lt;&gt;0,5*$G$35))*10,0)</f>
        <v>6.879999999999999</v>
      </c>
      <c r="AN40" s="15">
        <f>IFERROR(SUM(AN5:AN39)/(IF(AM5&lt;&gt;0,5*$G$5)+IF(AM10&lt;&gt;0,5*$G$10)+IF(AM15&lt;&gt;0,5*$G$15)+IF(AM20&lt;&gt;0,5*$G$20)+IF(AM25&lt;&gt;0,5*$G$25)+IF(AM30&lt;&gt;0,5*$G$30)+IF(AM35&lt;&gt;0,5*$G$35))*10,0)</f>
        <v>8.0399999999999991</v>
      </c>
      <c r="AQ40" s="15">
        <f>IFERROR(SUM(AQ5:AQ39)/(IF(AP5&lt;&gt;0,5*$G$5)+IF(AP10&lt;&gt;0,5*$G$10)+IF(AP15&lt;&gt;0,5*$G$15)+IF(AP20&lt;&gt;0,5*$G$20)+IF(AP25&lt;&gt;0,5*$G$25)+IF(AP30&lt;&gt;0,5*$G$30)+IF(AP35&lt;&gt;0,5*$G$35))*10,0)</f>
        <v>6.8999999999999995</v>
      </c>
      <c r="AT40" s="15">
        <f>IFERROR(SUM(AT5:AT39)/(IF(AS5&lt;&gt;0,5*$G$5)+IF(AS10&lt;&gt;0,5*$G$10)+IF(AS15&lt;&gt;0,5*$G$15)+IF(AS20&lt;&gt;0,5*$G$20)+IF(AS25&lt;&gt;0,5*$G$25)+IF(AS30&lt;&gt;0,5*$G$30)+IF(AS35&lt;&gt;0,5*$G$35))*10,0)</f>
        <v>8</v>
      </c>
      <c r="AW40" s="15">
        <f>IFERROR(SUM(AW5:AW39)/(IF(AV5&lt;&gt;0,5*$G$5)+IF(AV10&lt;&gt;0,5*$G$10)+IF(AV15&lt;&gt;0,5*$G$15)+IF(AV20&lt;&gt;0,5*$G$20)+IF(AV25&lt;&gt;0,5*$G$25)+IF(AV30&lt;&gt;0,5*$G$30)+IF(AV35&lt;&gt;0,5*$G$35))*10,0)</f>
        <v>6.74</v>
      </c>
      <c r="AZ40" s="15">
        <f>IFERROR(SUM(AZ5:AZ39)/(IF(AY5&lt;&gt;0,5*$G$5)+IF(AY10&lt;&gt;0,5*$G$10)+IF(AY15&lt;&gt;0,5*$G$15)+IF(AY20&lt;&gt;0,5*$G$20)+IF(AY25&lt;&gt;0,5*$G$25)+IF(AY30&lt;&gt;0,5*$G$30)+IF(AY35&lt;&gt;0,5*$G$35))*10,0)</f>
        <v>7.580000000000001</v>
      </c>
      <c r="BC40" s="15">
        <f>IFERROR(SUM(BC5:BC39)/(IF(BB5&lt;&gt;0,5*$G$5)+IF(BB10&lt;&gt;0,5*$G$10)+IF(BB15&lt;&gt;0,5*$G$15)+IF(BB20&lt;&gt;0,5*$G$20)+IF(BB25&lt;&gt;0,5*$G$25)+IF(BB30&lt;&gt;0,5*$G$30)+IF(BB35&lt;&gt;0,5*$G$35))*10,0)</f>
        <v>6.4800000000000013</v>
      </c>
      <c r="BF40" s="15">
        <f>IFERROR(SUM(BF5:BF39)/(IF(BE5&lt;&gt;0,5*$G$5)+IF(BE10&lt;&gt;0,5*$G$10)+IF(BE15&lt;&gt;0,5*$G$15)+IF(BE20&lt;&gt;0,5*$G$20)+IF(BE25&lt;&gt;0,5*$G$25)+IF(BE30&lt;&gt;0,5*$G$30)+IF(BE35&lt;&gt;0,5*$G$35))*10,0)</f>
        <v>6.9599999999999991</v>
      </c>
      <c r="BI40" s="15">
        <f>IFERROR(SUM(BI5:BI39)/(IF(BH5&lt;&gt;0,5*$G$5)+IF(BH10&lt;&gt;0,5*$G$10)+IF(BH15&lt;&gt;0,5*$G$15)+IF(BH20&lt;&gt;0,5*$G$20)+IF(BH25&lt;&gt;0,5*$G$25)+IF(BH30&lt;&gt;0,5*$G$30)+IF(BH35&lt;&gt;0,5*$G$35))*10,0)</f>
        <v>6.36</v>
      </c>
      <c r="BL40" s="15">
        <f>IFERROR(SUM(BL5:BL39)/(IF(BK5&lt;&gt;0,5*$G$5)+IF(BK10&lt;&gt;0,5*$G$10)+IF(BK15&lt;&gt;0,5*$G$15)+IF(BK20&lt;&gt;0,5*$G$20)+IF(BK25&lt;&gt;0,5*$G$25)+IF(BK30&lt;&gt;0,5*$G$30)+IF(BK35&lt;&gt;0,5*$G$35))*10,0)</f>
        <v>7.26</v>
      </c>
      <c r="BO40" s="15">
        <f>IFERROR(SUM(BO5:BO39)/(IF(BN5&lt;&gt;0,5*$G$5)+IF(BN10&lt;&gt;0,5*$G$10)+IF(BN15&lt;&gt;0,5*$G$15)+IF(BN20&lt;&gt;0,5*$G$20)+IF(BN25&lt;&gt;0,5*$G$25)+IF(BN30&lt;&gt;0,5*$G$30)+IF(BN35&lt;&gt;0,5*$G$35))*10,0)</f>
        <v>6.6399999999999988</v>
      </c>
      <c r="BR40" s="15">
        <f>IFERROR(SUM(BR5:BR39)/(IF(BQ5&lt;&gt;0,5*$G$5)+IF(BQ10&lt;&gt;0,5*$G$10)+IF(BQ15&lt;&gt;0,5*$G$15)+IF(BQ20&lt;&gt;0,5*$G$20)+IF(BQ25&lt;&gt;0,5*$G$25)+IF(BQ30&lt;&gt;0,5*$G$30)+IF(BQ35&lt;&gt;0,5*$G$35))*10,0)</f>
        <v>6.74</v>
      </c>
      <c r="BU40" s="15">
        <f>IFERROR(SUM(BU5:BU39)/(IF(BT5&lt;&gt;0,5*$G$5)+IF(BT10&lt;&gt;0,5*$G$10)+IF(BT15&lt;&gt;0,5*$G$15)+IF(BT20&lt;&gt;0,5*$G$20)+IF(BT25&lt;&gt;0,5*$G$25)+IF(BT30&lt;&gt;0,5*$G$30)+IF(BT35&lt;&gt;0,5*$G$35))*10,0)</f>
        <v>7.84</v>
      </c>
    </row>
  </sheetData>
  <sheetProtection sheet="1" objects="1" scenarios="1"/>
  <mergeCells count="380">
    <mergeCell ref="BT30:BT34"/>
    <mergeCell ref="BU30:BU34"/>
    <mergeCell ref="BT35:BT39"/>
    <mergeCell ref="BU35:BU39"/>
    <mergeCell ref="BT15:BT19"/>
    <mergeCell ref="BU15:BU19"/>
    <mergeCell ref="BT20:BT24"/>
    <mergeCell ref="BU20:BU24"/>
    <mergeCell ref="BT25:BT29"/>
    <mergeCell ref="BU25:BU29"/>
    <mergeCell ref="BT1:BU1"/>
    <mergeCell ref="BT2:BU2"/>
    <mergeCell ref="BT5:BT9"/>
    <mergeCell ref="BU5:BU9"/>
    <mergeCell ref="BT10:BT14"/>
    <mergeCell ref="BU10:BU14"/>
    <mergeCell ref="BQ15:BQ19"/>
    <mergeCell ref="BR15:BR19"/>
    <mergeCell ref="BQ20:BQ24"/>
    <mergeCell ref="BR20:BR24"/>
    <mergeCell ref="BN35:BN39"/>
    <mergeCell ref="BO35:BO39"/>
    <mergeCell ref="BQ1:BR1"/>
    <mergeCell ref="BQ2:BR2"/>
    <mergeCell ref="BQ5:BQ9"/>
    <mergeCell ref="BR5:BR9"/>
    <mergeCell ref="BQ10:BQ14"/>
    <mergeCell ref="BR10:BR14"/>
    <mergeCell ref="BN15:BN19"/>
    <mergeCell ref="BO15:BO19"/>
    <mergeCell ref="BN20:BN24"/>
    <mergeCell ref="BO20:BO24"/>
    <mergeCell ref="BN25:BN29"/>
    <mergeCell ref="BO25:BO29"/>
    <mergeCell ref="BQ30:BQ34"/>
    <mergeCell ref="BR30:BR34"/>
    <mergeCell ref="BQ35:BQ39"/>
    <mergeCell ref="BR35:BR39"/>
    <mergeCell ref="BQ25:BQ29"/>
    <mergeCell ref="BR25:BR29"/>
    <mergeCell ref="BN1:BO1"/>
    <mergeCell ref="BN2:BO2"/>
    <mergeCell ref="BN5:BN9"/>
    <mergeCell ref="BO5:BO9"/>
    <mergeCell ref="BN10:BN14"/>
    <mergeCell ref="BO10:BO14"/>
    <mergeCell ref="BK15:BK19"/>
    <mergeCell ref="BL15:BL19"/>
    <mergeCell ref="BK20:BK24"/>
    <mergeCell ref="BL20:BL24"/>
    <mergeCell ref="BH30:BH34"/>
    <mergeCell ref="BI30:BI34"/>
    <mergeCell ref="BH10:BH14"/>
    <mergeCell ref="BI10:BI14"/>
    <mergeCell ref="BN30:BN34"/>
    <mergeCell ref="BO30:BO34"/>
    <mergeCell ref="BH35:BH39"/>
    <mergeCell ref="BI35:BI39"/>
    <mergeCell ref="BK1:BL1"/>
    <mergeCell ref="BK2:BL2"/>
    <mergeCell ref="BK5:BK9"/>
    <mergeCell ref="BL5:BL9"/>
    <mergeCell ref="BK10:BK14"/>
    <mergeCell ref="BL10:BL14"/>
    <mergeCell ref="BH15:BH19"/>
    <mergeCell ref="BI15:BI19"/>
    <mergeCell ref="BH20:BH24"/>
    <mergeCell ref="BI20:BI24"/>
    <mergeCell ref="BH25:BH29"/>
    <mergeCell ref="BI25:BI29"/>
    <mergeCell ref="BK30:BK34"/>
    <mergeCell ref="BL30:BL34"/>
    <mergeCell ref="BK35:BK39"/>
    <mergeCell ref="BL35:BL39"/>
    <mergeCell ref="BK25:BK29"/>
    <mergeCell ref="BL25:BL29"/>
    <mergeCell ref="BH1:BI1"/>
    <mergeCell ref="BH2:BI2"/>
    <mergeCell ref="BH5:BH9"/>
    <mergeCell ref="BI5:BI9"/>
    <mergeCell ref="BB30:BB34"/>
    <mergeCell ref="BC30:BC34"/>
    <mergeCell ref="BB35:BB39"/>
    <mergeCell ref="BC35:BC39"/>
    <mergeCell ref="BE1:BF1"/>
    <mergeCell ref="BE2:BF2"/>
    <mergeCell ref="BE5:BE9"/>
    <mergeCell ref="BF5:BF9"/>
    <mergeCell ref="BE10:BE14"/>
    <mergeCell ref="BF10:BF14"/>
    <mergeCell ref="BB15:BB19"/>
    <mergeCell ref="BC15:BC19"/>
    <mergeCell ref="BB20:BB24"/>
    <mergeCell ref="BC20:BC24"/>
    <mergeCell ref="BB25:BB29"/>
    <mergeCell ref="BC25:BC29"/>
    <mergeCell ref="BE30:BE34"/>
    <mergeCell ref="BF30:BF34"/>
    <mergeCell ref="BE35:BE39"/>
    <mergeCell ref="BF35:BF39"/>
    <mergeCell ref="BE25:BE29"/>
    <mergeCell ref="BF25:BF29"/>
    <mergeCell ref="BB1:BC1"/>
    <mergeCell ref="BB2:BC2"/>
    <mergeCell ref="BB5:BB9"/>
    <mergeCell ref="BC5:BC9"/>
    <mergeCell ref="BB10:BB14"/>
    <mergeCell ref="BC10:BC14"/>
    <mergeCell ref="AY15:AY19"/>
    <mergeCell ref="AZ15:AZ19"/>
    <mergeCell ref="AY20:AY24"/>
    <mergeCell ref="AZ20:AZ24"/>
    <mergeCell ref="BE15:BE19"/>
    <mergeCell ref="BF15:BF19"/>
    <mergeCell ref="BE20:BE24"/>
    <mergeCell ref="BF20:BF24"/>
    <mergeCell ref="AV35:AV39"/>
    <mergeCell ref="AW35:AW39"/>
    <mergeCell ref="AY1:AZ1"/>
    <mergeCell ref="AY2:AZ2"/>
    <mergeCell ref="AY5:AY9"/>
    <mergeCell ref="AZ5:AZ9"/>
    <mergeCell ref="AY10:AY14"/>
    <mergeCell ref="AZ10:AZ14"/>
    <mergeCell ref="AV15:AV19"/>
    <mergeCell ref="AW15:AW19"/>
    <mergeCell ref="AV20:AV24"/>
    <mergeCell ref="AW20:AW24"/>
    <mergeCell ref="AV25:AV29"/>
    <mergeCell ref="AW25:AW29"/>
    <mergeCell ref="AY30:AY34"/>
    <mergeCell ref="AZ30:AZ34"/>
    <mergeCell ref="AY35:AY39"/>
    <mergeCell ref="AZ35:AZ39"/>
    <mergeCell ref="AY25:AY29"/>
    <mergeCell ref="AZ25:AZ29"/>
    <mergeCell ref="AV1:AW1"/>
    <mergeCell ref="AV2:AW2"/>
    <mergeCell ref="AV5:AV9"/>
    <mergeCell ref="AW5:AW9"/>
    <mergeCell ref="AV10:AV14"/>
    <mergeCell ref="AW10:AW14"/>
    <mergeCell ref="AS15:AS19"/>
    <mergeCell ref="AT15:AT19"/>
    <mergeCell ref="AS20:AS24"/>
    <mergeCell ref="AT20:AT24"/>
    <mergeCell ref="AS1:AT1"/>
    <mergeCell ref="AS2:AT2"/>
    <mergeCell ref="AS5:AS9"/>
    <mergeCell ref="AT5:AT9"/>
    <mergeCell ref="AS10:AS14"/>
    <mergeCell ref="AT10:AT14"/>
    <mergeCell ref="AP15:AP19"/>
    <mergeCell ref="AQ15:AQ19"/>
    <mergeCell ref="AP20:AP24"/>
    <mergeCell ref="AQ20:AQ24"/>
    <mergeCell ref="AN30:AN34"/>
    <mergeCell ref="AP30:AP34"/>
    <mergeCell ref="AQ30:AQ34"/>
    <mergeCell ref="AP10:AP14"/>
    <mergeCell ref="AQ10:AQ14"/>
    <mergeCell ref="AV30:AV34"/>
    <mergeCell ref="AW30:AW34"/>
    <mergeCell ref="AP35:AP39"/>
    <mergeCell ref="AQ35:AQ39"/>
    <mergeCell ref="AP25:AP29"/>
    <mergeCell ref="AQ25:AQ29"/>
    <mergeCell ref="AS30:AS34"/>
    <mergeCell ref="AT30:AT34"/>
    <mergeCell ref="AS35:AS39"/>
    <mergeCell ref="AT35:AT39"/>
    <mergeCell ref="AJ1:AK1"/>
    <mergeCell ref="AJ2:AK2"/>
    <mergeCell ref="AJ5:AJ9"/>
    <mergeCell ref="AK5:AK9"/>
    <mergeCell ref="AJ10:AJ14"/>
    <mergeCell ref="AK10:AK14"/>
    <mergeCell ref="AS25:AS29"/>
    <mergeCell ref="AT25:AT29"/>
    <mergeCell ref="AP1:AQ1"/>
    <mergeCell ref="AP2:AQ2"/>
    <mergeCell ref="AP5:AP9"/>
    <mergeCell ref="AQ5:AQ9"/>
    <mergeCell ref="AM1:AN1"/>
    <mergeCell ref="AM2:AN2"/>
    <mergeCell ref="AM5:AM9"/>
    <mergeCell ref="AN5:AN9"/>
    <mergeCell ref="AM10:AM14"/>
    <mergeCell ref="AN10:AN14"/>
    <mergeCell ref="AJ15:AJ19"/>
    <mergeCell ref="AK15:AK19"/>
    <mergeCell ref="AJ20:AJ24"/>
    <mergeCell ref="AK20:AK24"/>
    <mergeCell ref="AJ25:AJ29"/>
    <mergeCell ref="AK25:AK29"/>
    <mergeCell ref="AM15:AM19"/>
    <mergeCell ref="AN15:AN19"/>
    <mergeCell ref="AM20:AM24"/>
    <mergeCell ref="AN20:AN24"/>
    <mergeCell ref="AD35:AD39"/>
    <mergeCell ref="AE35:AE39"/>
    <mergeCell ref="AD25:AD29"/>
    <mergeCell ref="AE25:AE29"/>
    <mergeCell ref="AG30:AG34"/>
    <mergeCell ref="AH30:AH34"/>
    <mergeCell ref="AG35:AG39"/>
    <mergeCell ref="AH35:AH39"/>
    <mergeCell ref="AG25:AG29"/>
    <mergeCell ref="AH25:AH29"/>
    <mergeCell ref="AE30:AE34"/>
    <mergeCell ref="AM35:AM39"/>
    <mergeCell ref="AN35:AN39"/>
    <mergeCell ref="AM25:AM29"/>
    <mergeCell ref="AN25:AN29"/>
    <mergeCell ref="AJ30:AJ34"/>
    <mergeCell ref="AK30:AK34"/>
    <mergeCell ref="AJ35:AJ39"/>
    <mergeCell ref="AK35:AK39"/>
    <mergeCell ref="AM30:AM34"/>
    <mergeCell ref="AG1:AH1"/>
    <mergeCell ref="AG2:AH2"/>
    <mergeCell ref="AG5:AG9"/>
    <mergeCell ref="AH5:AH9"/>
    <mergeCell ref="AG10:AG14"/>
    <mergeCell ref="AH10:AH14"/>
    <mergeCell ref="AD15:AD19"/>
    <mergeCell ref="AE15:AE19"/>
    <mergeCell ref="AD20:AD24"/>
    <mergeCell ref="AE20:AE24"/>
    <mergeCell ref="AD1:AE1"/>
    <mergeCell ref="AD2:AE2"/>
    <mergeCell ref="AD5:AD9"/>
    <mergeCell ref="AE5:AE9"/>
    <mergeCell ref="AD10:AD14"/>
    <mergeCell ref="AE10:AE14"/>
    <mergeCell ref="AG15:AG19"/>
    <mergeCell ref="AH15:AH19"/>
    <mergeCell ref="AG20:AG24"/>
    <mergeCell ref="AH20:AH24"/>
    <mergeCell ref="AA15:AA19"/>
    <mergeCell ref="AB15:AB19"/>
    <mergeCell ref="AA20:AA24"/>
    <mergeCell ref="AB20:AB24"/>
    <mergeCell ref="X30:X34"/>
    <mergeCell ref="Y30:Y34"/>
    <mergeCell ref="X10:X14"/>
    <mergeCell ref="Y10:Y14"/>
    <mergeCell ref="AD30:AD34"/>
    <mergeCell ref="X35:X39"/>
    <mergeCell ref="Y35:Y39"/>
    <mergeCell ref="AA1:AB1"/>
    <mergeCell ref="AA2:AB2"/>
    <mergeCell ref="AA5:AA9"/>
    <mergeCell ref="AB5:AB9"/>
    <mergeCell ref="AA10:AA14"/>
    <mergeCell ref="AB10:AB14"/>
    <mergeCell ref="X15:X19"/>
    <mergeCell ref="Y15:Y19"/>
    <mergeCell ref="X20:X24"/>
    <mergeCell ref="Y20:Y24"/>
    <mergeCell ref="X25:X29"/>
    <mergeCell ref="Y25:Y29"/>
    <mergeCell ref="AA30:AA34"/>
    <mergeCell ref="AB30:AB34"/>
    <mergeCell ref="AA35:AA39"/>
    <mergeCell ref="AB35:AB39"/>
    <mergeCell ref="AA25:AA29"/>
    <mergeCell ref="AB25:AB29"/>
    <mergeCell ref="X1:Y1"/>
    <mergeCell ref="X2:Y2"/>
    <mergeCell ref="X5:X9"/>
    <mergeCell ref="Y5:Y9"/>
    <mergeCell ref="U15:U19"/>
    <mergeCell ref="V15:V19"/>
    <mergeCell ref="U20:U24"/>
    <mergeCell ref="V20:V24"/>
    <mergeCell ref="R35:R39"/>
    <mergeCell ref="S35:S39"/>
    <mergeCell ref="U1:V1"/>
    <mergeCell ref="U2:V2"/>
    <mergeCell ref="U5:U9"/>
    <mergeCell ref="V5:V9"/>
    <mergeCell ref="U10:U14"/>
    <mergeCell ref="V10:V14"/>
    <mergeCell ref="R15:R19"/>
    <mergeCell ref="S15:S19"/>
    <mergeCell ref="R20:R24"/>
    <mergeCell ref="S20:S24"/>
    <mergeCell ref="R25:R29"/>
    <mergeCell ref="S25:S29"/>
    <mergeCell ref="U30:U34"/>
    <mergeCell ref="V30:V34"/>
    <mergeCell ref="U35:U39"/>
    <mergeCell ref="V35:V39"/>
    <mergeCell ref="U25:U29"/>
    <mergeCell ref="V25:V29"/>
    <mergeCell ref="O30:O34"/>
    <mergeCell ref="P30:P34"/>
    <mergeCell ref="O35:O39"/>
    <mergeCell ref="P35:P39"/>
    <mergeCell ref="R1:S1"/>
    <mergeCell ref="R2:S2"/>
    <mergeCell ref="R5:R9"/>
    <mergeCell ref="S5:S9"/>
    <mergeCell ref="R10:R14"/>
    <mergeCell ref="S10:S14"/>
    <mergeCell ref="O15:O19"/>
    <mergeCell ref="P15:P19"/>
    <mergeCell ref="O20:O24"/>
    <mergeCell ref="P20:P24"/>
    <mergeCell ref="O25:O29"/>
    <mergeCell ref="P25:P29"/>
    <mergeCell ref="O1:P1"/>
    <mergeCell ref="O2:P2"/>
    <mergeCell ref="O5:O9"/>
    <mergeCell ref="P5:P9"/>
    <mergeCell ref="O10:O14"/>
    <mergeCell ref="P10:P14"/>
    <mergeCell ref="R30:R34"/>
    <mergeCell ref="S30:S34"/>
    <mergeCell ref="M20:M24"/>
    <mergeCell ref="L25:L29"/>
    <mergeCell ref="M25:M29"/>
    <mergeCell ref="L30:L34"/>
    <mergeCell ref="M30:M34"/>
    <mergeCell ref="L35:L39"/>
    <mergeCell ref="M35:M39"/>
    <mergeCell ref="L1:M1"/>
    <mergeCell ref="L2:M2"/>
    <mergeCell ref="L5:L9"/>
    <mergeCell ref="M5:M9"/>
    <mergeCell ref="L10:L14"/>
    <mergeCell ref="M10:M14"/>
    <mergeCell ref="L15:L19"/>
    <mergeCell ref="M15:M19"/>
    <mergeCell ref="L20:L24"/>
    <mergeCell ref="I30:I34"/>
    <mergeCell ref="J30:J34"/>
    <mergeCell ref="I35:I39"/>
    <mergeCell ref="J35:J39"/>
    <mergeCell ref="I15:I19"/>
    <mergeCell ref="J15:J19"/>
    <mergeCell ref="I20:I24"/>
    <mergeCell ref="J20:J24"/>
    <mergeCell ref="I25:I29"/>
    <mergeCell ref="J25:J29"/>
    <mergeCell ref="I1:J1"/>
    <mergeCell ref="I2:J2"/>
    <mergeCell ref="I5:I9"/>
    <mergeCell ref="J5:J9"/>
    <mergeCell ref="I10:I14"/>
    <mergeCell ref="J10:J14"/>
    <mergeCell ref="B35:B39"/>
    <mergeCell ref="C35:C39"/>
    <mergeCell ref="D35:D39"/>
    <mergeCell ref="G5:G9"/>
    <mergeCell ref="G10:G14"/>
    <mergeCell ref="G15:G19"/>
    <mergeCell ref="G20:G24"/>
    <mergeCell ref="G25:G29"/>
    <mergeCell ref="G30:G34"/>
    <mergeCell ref="G35:G39"/>
    <mergeCell ref="B25:B29"/>
    <mergeCell ref="C25:C29"/>
    <mergeCell ref="D25:D29"/>
    <mergeCell ref="B30:B34"/>
    <mergeCell ref="C30:C34"/>
    <mergeCell ref="D30:D34"/>
    <mergeCell ref="B15:B19"/>
    <mergeCell ref="C15:C19"/>
    <mergeCell ref="D15:D19"/>
    <mergeCell ref="B20:B24"/>
    <mergeCell ref="C20:C24"/>
    <mergeCell ref="D20:D24"/>
    <mergeCell ref="B5:B9"/>
    <mergeCell ref="C5:C9"/>
    <mergeCell ref="D5:D9"/>
    <mergeCell ref="B10:B14"/>
    <mergeCell ref="C10:C14"/>
    <mergeCell ref="D10:D14"/>
  </mergeCells>
  <pageMargins left="0.7" right="0.7" top="0.75" bottom="0.75" header="0.3" footer="0.3"/>
  <pageSetup paperSize="8" scale="1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12D1-E697-4285-80E8-1D893F242DD8}">
  <dimension ref="A1:H24"/>
  <sheetViews>
    <sheetView tabSelected="1" workbookViewId="0">
      <selection activeCell="L16" sqref="L16"/>
    </sheetView>
  </sheetViews>
  <sheetFormatPr defaultColWidth="9.140625" defaultRowHeight="18.75" x14ac:dyDescent="0.4"/>
  <cols>
    <col min="1" max="1" width="22.28515625" style="2" customWidth="1"/>
    <col min="2" max="2" width="39.28515625" style="2" bestFit="1" customWidth="1"/>
    <col min="3" max="3" width="9.140625" style="19"/>
    <col min="4" max="4" width="20.28515625" style="19" bestFit="1" customWidth="1"/>
    <col min="5" max="5" width="9.140625" style="2"/>
    <col min="6" max="6" width="13.140625" style="2" bestFit="1" customWidth="1"/>
    <col min="7" max="7" width="39.28515625" style="2" bestFit="1" customWidth="1"/>
    <col min="8" max="8" width="20.28515625" style="29" bestFit="1" customWidth="1"/>
    <col min="9" max="16384" width="9.140625" style="2"/>
  </cols>
  <sheetData>
    <row r="1" spans="1:8" x14ac:dyDescent="0.4">
      <c r="A1" s="32" t="s">
        <v>81</v>
      </c>
      <c r="B1" s="32"/>
      <c r="C1" s="32"/>
      <c r="D1" s="32"/>
      <c r="F1" s="32" t="s">
        <v>82</v>
      </c>
      <c r="G1" s="32"/>
      <c r="H1" s="32"/>
    </row>
    <row r="2" spans="1:8" ht="19.5" thickBot="1" x14ac:dyDescent="0.45">
      <c r="A2" s="16" t="s">
        <v>78</v>
      </c>
      <c r="B2" s="16" t="s">
        <v>77</v>
      </c>
      <c r="C2" s="18" t="s">
        <v>55</v>
      </c>
      <c r="D2" s="18" t="s">
        <v>80</v>
      </c>
      <c r="F2" s="16" t="s">
        <v>78</v>
      </c>
      <c r="G2" s="16" t="s">
        <v>77</v>
      </c>
      <c r="H2" s="24" t="s">
        <v>55</v>
      </c>
    </row>
    <row r="3" spans="1:8" x14ac:dyDescent="0.4">
      <c r="A3" s="2" t="str">
        <f>'Preliminary Ranking'!I$1</f>
        <v>Concept 1</v>
      </c>
      <c r="B3" s="2" t="str">
        <f>'Preliminary Ranking'!I$2</f>
        <v>Less Bright LED</v>
      </c>
      <c r="C3" s="19">
        <f>'Preliminary Ranking'!J$40</f>
        <v>6.74</v>
      </c>
      <c r="D3" s="19">
        <f>MAX(0, MIN(10, 10 * (C3 - MIN($C$3:$C$24)) / (MAX($C$3:$C$24) - MIN($C$3:$C$24))))</f>
        <v>2.1348314606741563</v>
      </c>
      <c r="F3" s="20" t="str" cm="1">
        <f t="array" ref="F3:F24">_xlfn.SORTBY(A3:A24, D3:D24, -1)</f>
        <v>Concept 5</v>
      </c>
      <c r="G3" s="30" t="str" cm="1">
        <f t="array" ref="G3:G24">_xlfn.SORTBY(B3:B24, D3:D24, -1)</f>
        <v>Different LED Angle</v>
      </c>
      <c r="H3" s="25" cm="1">
        <f t="array" ref="H3:H24">_xlfn.SORTBY(D3:D24, D3:D24, -1)</f>
        <v>10</v>
      </c>
    </row>
    <row r="4" spans="1:8" x14ac:dyDescent="0.4">
      <c r="A4" s="2" t="str">
        <f>'Preliminary Ranking'!L$1</f>
        <v>Concept 2</v>
      </c>
      <c r="B4" s="2" t="str">
        <f>'Preliminary Ranking'!L$2</f>
        <v>Extra Lighting</v>
      </c>
      <c r="C4" s="19">
        <f>'Preliminary Ranking'!M$40</f>
        <v>7.4799999999999986</v>
      </c>
      <c r="D4" s="19">
        <f t="shared" ref="D4:D24" si="0">MAX(0, MIN(10, 10 * (C4 - MIN($C$3:$C$24)) / (MAX($C$3:$C$24) - MIN($C$3:$C$24))))</f>
        <v>6.2921348314606638</v>
      </c>
      <c r="F4" s="21" t="str">
        <v>Concept 4</v>
      </c>
      <c r="G4" s="16" t="str">
        <v>Diffusion Filter in Front of LED</v>
      </c>
      <c r="H4" s="26">
        <v>9.6629213483146028</v>
      </c>
    </row>
    <row r="5" spans="1:8" ht="19.5" thickBot="1" x14ac:dyDescent="0.45">
      <c r="A5" s="2" t="str">
        <f>'Preliminary Ranking'!O$1</f>
        <v>Concept 3</v>
      </c>
      <c r="B5" s="2" t="str">
        <f>'Preliminary Ranking'!O$2</f>
        <v>ND/Polarization Filter</v>
      </c>
      <c r="C5" s="19">
        <f>'Preliminary Ranking'!P$40</f>
        <v>6.9799999999999995</v>
      </c>
      <c r="D5" s="19">
        <f t="shared" si="0"/>
        <v>3.4831460674157255</v>
      </c>
      <c r="F5" s="22" t="str">
        <v>Concept 11</v>
      </c>
      <c r="G5" s="31" t="str">
        <v>Limit LED Beam Width</v>
      </c>
      <c r="H5" s="27">
        <v>9.4382022471910041</v>
      </c>
    </row>
    <row r="6" spans="1:8" x14ac:dyDescent="0.4">
      <c r="A6" s="2" t="str">
        <f>'Preliminary Ranking'!R$1</f>
        <v>Concept 4</v>
      </c>
      <c r="B6" s="2" t="str">
        <f>'Preliminary Ranking'!R$2</f>
        <v>Diffusion Filter in Front of LED</v>
      </c>
      <c r="C6" s="19">
        <f>'Preliminary Ranking'!S$40</f>
        <v>8.08</v>
      </c>
      <c r="D6" s="19">
        <f t="shared" si="0"/>
        <v>9.6629213483146028</v>
      </c>
      <c r="F6" s="23" t="str">
        <v>Concept 13</v>
      </c>
      <c r="G6" s="23" t="str">
        <v>Different Positioning Scan Engine</v>
      </c>
      <c r="H6" s="28">
        <v>9.2134831460674143</v>
      </c>
    </row>
    <row r="7" spans="1:8" x14ac:dyDescent="0.4">
      <c r="A7" s="2" t="str">
        <f>'Preliminary Ranking'!U$1</f>
        <v>Concept 5</v>
      </c>
      <c r="B7" s="2" t="str">
        <f>'Preliminary Ranking'!U$2</f>
        <v>Different LED Angle</v>
      </c>
      <c r="C7" s="19">
        <f>'Preliminary Ranking'!V$40</f>
        <v>8.14</v>
      </c>
      <c r="D7" s="19">
        <f t="shared" si="0"/>
        <v>10</v>
      </c>
      <c r="F7" s="23" t="str">
        <v>Concept 22</v>
      </c>
      <c r="G7" s="23" t="str">
        <v>Machine Vision Barcode Comparison</v>
      </c>
      <c r="H7" s="28">
        <v>8.31460674157303</v>
      </c>
    </row>
    <row r="8" spans="1:8" x14ac:dyDescent="0.4">
      <c r="A8" s="2" t="str">
        <f>'Preliminary Ranking'!X$1</f>
        <v>Concept 6</v>
      </c>
      <c r="B8" s="2" t="str">
        <f>'Preliminary Ranking'!X$2</f>
        <v>Ring Light Around Sensor Frame</v>
      </c>
      <c r="C8" s="19">
        <f>'Preliminary Ranking'!Y$40</f>
        <v>6.3799999999999981</v>
      </c>
      <c r="D8" s="19">
        <f t="shared" si="0"/>
        <v>0.11235955056178536</v>
      </c>
      <c r="F8" s="23" t="str">
        <v>Concept 7</v>
      </c>
      <c r="G8" s="23" t="str">
        <v>Internal Ribs to Break Scatter Light</v>
      </c>
      <c r="H8" s="28">
        <v>7.9775280898876391</v>
      </c>
    </row>
    <row r="9" spans="1:8" x14ac:dyDescent="0.4">
      <c r="A9" s="2" t="str">
        <f>'Preliminary Ranking'!AA$1</f>
        <v>Concept 7</v>
      </c>
      <c r="B9" s="2" t="str">
        <f>'Preliminary Ranking'!AA$2</f>
        <v>Internal Ribs to Break Scatter Light</v>
      </c>
      <c r="C9" s="19">
        <f>'Preliminary Ranking'!AB$40</f>
        <v>7.78</v>
      </c>
      <c r="D9" s="19">
        <f t="shared" si="0"/>
        <v>7.9775280898876391</v>
      </c>
      <c r="F9" s="23" t="str">
        <v>Concept 9</v>
      </c>
      <c r="G9" s="23" t="str">
        <v>Block Everything Outside FOV</v>
      </c>
      <c r="H9" s="28">
        <v>7.7528089887640483</v>
      </c>
    </row>
    <row r="10" spans="1:8" x14ac:dyDescent="0.4">
      <c r="A10" s="2" t="str">
        <f>'Preliminary Ranking'!AD$1</f>
        <v>Concept 8</v>
      </c>
      <c r="B10" s="2" t="str">
        <f>'Preliminary Ranking'!AD$2</f>
        <v>Black Coating on Internals</v>
      </c>
      <c r="C10" s="19">
        <f>'Preliminary Ranking'!AE$40</f>
        <v>7.6400000000000006</v>
      </c>
      <c r="D10" s="19">
        <f t="shared" si="0"/>
        <v>7.1910112359550569</v>
      </c>
      <c r="F10" s="23" t="str">
        <v>Concept 8</v>
      </c>
      <c r="G10" s="23" t="str">
        <v>Black Coating on Internals</v>
      </c>
      <c r="H10" s="28">
        <v>7.1910112359550569</v>
      </c>
    </row>
    <row r="11" spans="1:8" x14ac:dyDescent="0.4">
      <c r="A11" s="2" t="str">
        <f>'Preliminary Ranking'!AG$1</f>
        <v>Concept 9</v>
      </c>
      <c r="B11" s="2" t="str">
        <f>'Preliminary Ranking'!AG$2</f>
        <v>Block Everything Outside FOV</v>
      </c>
      <c r="C11" s="19">
        <f>'Preliminary Ranking'!AH$40</f>
        <v>7.7400000000000011</v>
      </c>
      <c r="D11" s="19">
        <f t="shared" si="0"/>
        <v>7.7528089887640483</v>
      </c>
      <c r="F11" s="23" t="str">
        <v>Concept 15</v>
      </c>
      <c r="G11" s="23" t="str">
        <v>Matte Mirror</v>
      </c>
      <c r="H11" s="28">
        <v>6.8539325842696659</v>
      </c>
    </row>
    <row r="12" spans="1:8" x14ac:dyDescent="0.4">
      <c r="A12" s="2" t="str">
        <f>'Preliminary Ranking'!AJ$1</f>
        <v>Concept 10</v>
      </c>
      <c r="B12" s="2" t="str">
        <f>'Preliminary Ranking'!AJ$2</f>
        <v>Periscope-style Enclosed Light Path</v>
      </c>
      <c r="C12" s="19">
        <f>'Preliminary Ranking'!AK$40</f>
        <v>6.879999999999999</v>
      </c>
      <c r="D12" s="19">
        <f t="shared" si="0"/>
        <v>2.9213483146067336</v>
      </c>
      <c r="F12" s="23" t="str">
        <v>Concept 2</v>
      </c>
      <c r="G12" s="23" t="str">
        <v>Extra Lighting</v>
      </c>
      <c r="H12" s="28">
        <v>6.2921348314606638</v>
      </c>
    </row>
    <row r="13" spans="1:8" x14ac:dyDescent="0.4">
      <c r="A13" s="2" t="str">
        <f>'Preliminary Ranking'!AM$1</f>
        <v>Concept 11</v>
      </c>
      <c r="B13" s="2" t="str">
        <f>'Preliminary Ranking'!AM$2</f>
        <v>Limit LED Beam Width</v>
      </c>
      <c r="C13" s="19">
        <f>'Preliminary Ranking'!AN$40</f>
        <v>8.0399999999999991</v>
      </c>
      <c r="D13" s="19">
        <f t="shared" si="0"/>
        <v>9.4382022471910041</v>
      </c>
      <c r="F13" s="23" t="str">
        <v>Concept 19</v>
      </c>
      <c r="G13" s="23" t="str">
        <v>Direct Line of Sight with Barcode</v>
      </c>
      <c r="H13" s="28">
        <v>5.0561797752808948</v>
      </c>
    </row>
    <row r="14" spans="1:8" x14ac:dyDescent="0.4">
      <c r="A14" s="2" t="str">
        <f>'Preliminary Ranking'!AP$1</f>
        <v>Concept 12</v>
      </c>
      <c r="B14" s="2" t="str">
        <f>'Preliminary Ranking'!AP$2</f>
        <v>New Barcode Scanner</v>
      </c>
      <c r="C14" s="19">
        <f>'Preliminary Ranking'!AQ$40</f>
        <v>6.8999999999999995</v>
      </c>
      <c r="D14" s="19">
        <f t="shared" si="0"/>
        <v>3.0337078651685343</v>
      </c>
      <c r="F14" s="23" t="str">
        <v>Concept 3</v>
      </c>
      <c r="G14" s="23" t="str">
        <v>ND/Polarization Filter</v>
      </c>
      <c r="H14" s="28">
        <v>3.4831460674157255</v>
      </c>
    </row>
    <row r="15" spans="1:8" x14ac:dyDescent="0.4">
      <c r="A15" s="2" t="str">
        <f>'Preliminary Ranking'!AS$1</f>
        <v>Concept 13</v>
      </c>
      <c r="B15" s="2" t="str">
        <f>'Preliminary Ranking'!AS$2</f>
        <v>Different Positioning Scan Engine</v>
      </c>
      <c r="C15" s="19">
        <f>'Preliminary Ranking'!AT$40</f>
        <v>8</v>
      </c>
      <c r="D15" s="19">
        <f t="shared" si="0"/>
        <v>9.2134831460674143</v>
      </c>
      <c r="F15" s="23" t="str">
        <v>Concept 17</v>
      </c>
      <c r="G15" s="23" t="str">
        <v>Different Mirror Position</v>
      </c>
      <c r="H15" s="28">
        <v>3.3707865168539253</v>
      </c>
    </row>
    <row r="16" spans="1:8" x14ac:dyDescent="0.4">
      <c r="A16" s="2" t="str">
        <f>'Preliminary Ranking'!AV$1</f>
        <v>Concept 14</v>
      </c>
      <c r="B16" s="2" t="str">
        <f>'Preliminary Ranking'!AV$2</f>
        <v>IR Lighting + Sensor</v>
      </c>
      <c r="C16" s="19">
        <f>'Preliminary Ranking'!AW$40</f>
        <v>6.74</v>
      </c>
      <c r="D16" s="19">
        <f t="shared" si="0"/>
        <v>2.1348314606741563</v>
      </c>
      <c r="F16" s="23" t="str">
        <v>Concept 12</v>
      </c>
      <c r="G16" s="23" t="str">
        <v>New Barcode Scanner</v>
      </c>
      <c r="H16" s="28">
        <v>3.0337078651685343</v>
      </c>
    </row>
    <row r="17" spans="1:8" x14ac:dyDescent="0.4">
      <c r="A17" s="2" t="str">
        <f>'Preliminary Ranking'!AY$1</f>
        <v>Concept 15</v>
      </c>
      <c r="B17" s="2" t="str">
        <f>'Preliminary Ranking'!AY$2</f>
        <v>Matte Mirror</v>
      </c>
      <c r="C17" s="19">
        <f>'Preliminary Ranking'!AZ$40</f>
        <v>7.580000000000001</v>
      </c>
      <c r="D17" s="19">
        <f t="shared" si="0"/>
        <v>6.8539325842696659</v>
      </c>
      <c r="F17" s="23" t="str">
        <v>Concept 10</v>
      </c>
      <c r="G17" s="23" t="str">
        <v>Periscope-style Enclosed Light Path</v>
      </c>
      <c r="H17" s="28">
        <v>2.9213483146067336</v>
      </c>
    </row>
    <row r="18" spans="1:8" x14ac:dyDescent="0.4">
      <c r="A18" s="2" t="str">
        <f>'Preliminary Ranking'!BB$1</f>
        <v>Concept 16</v>
      </c>
      <c r="B18" s="2" t="str">
        <f>'Preliminary Ranking'!BB$2</f>
        <v>First-surface Mirror</v>
      </c>
      <c r="C18" s="19">
        <f>'Preliminary Ranking'!BC$40</f>
        <v>6.4800000000000013</v>
      </c>
      <c r="D18" s="19">
        <f t="shared" si="0"/>
        <v>0.67415730337079205</v>
      </c>
      <c r="F18" s="23" t="str">
        <v>Concept 1</v>
      </c>
      <c r="G18" s="23" t="str">
        <v>Less Bright LED</v>
      </c>
      <c r="H18" s="28">
        <v>2.1348314606741563</v>
      </c>
    </row>
    <row r="19" spans="1:8" x14ac:dyDescent="0.4">
      <c r="A19" s="2" t="str">
        <f>'Preliminary Ranking'!BE$1</f>
        <v>Concept 17</v>
      </c>
      <c r="B19" s="2" t="str">
        <f>'Preliminary Ranking'!BE$2</f>
        <v>Different Mirror Position</v>
      </c>
      <c r="C19" s="19">
        <f>'Preliminary Ranking'!BF$40</f>
        <v>6.9599999999999991</v>
      </c>
      <c r="D19" s="19">
        <f t="shared" si="0"/>
        <v>3.3707865168539253</v>
      </c>
      <c r="F19" s="23" t="str">
        <v>Concept 14</v>
      </c>
      <c r="G19" s="23" t="str">
        <v>IR Lighting + Sensor</v>
      </c>
      <c r="H19" s="28">
        <v>2.1348314606741563</v>
      </c>
    </row>
    <row r="20" spans="1:8" x14ac:dyDescent="0.4">
      <c r="A20" s="2" t="str">
        <f>'Preliminary Ranking'!BH$1</f>
        <v>Concept 18</v>
      </c>
      <c r="B20" s="2" t="str">
        <f>'Preliminary Ranking'!BH$2</f>
        <v>Curved Mirror</v>
      </c>
      <c r="C20" s="19">
        <f>'Preliminary Ranking'!BI$40</f>
        <v>6.36</v>
      </c>
      <c r="D20" s="19">
        <f t="shared" si="0"/>
        <v>0</v>
      </c>
      <c r="F20" s="23" t="str">
        <v>Concept 21</v>
      </c>
      <c r="G20" s="23" t="str">
        <v>Dirt/Glare Detection</v>
      </c>
      <c r="H20" s="28">
        <v>2.1348314606741563</v>
      </c>
    </row>
    <row r="21" spans="1:8" x14ac:dyDescent="0.4">
      <c r="A21" s="2" t="str">
        <f>'Preliminary Ranking'!BK$1</f>
        <v>Concept 19</v>
      </c>
      <c r="B21" s="2" t="str">
        <f>'Preliminary Ranking'!BK$2</f>
        <v>Direct Line of Sight with Barcode</v>
      </c>
      <c r="C21" s="19">
        <f>'Preliminary Ranking'!BL$40</f>
        <v>7.26</v>
      </c>
      <c r="D21" s="19">
        <f t="shared" si="0"/>
        <v>5.0561797752808948</v>
      </c>
      <c r="F21" s="23" t="str">
        <v>Concept 20</v>
      </c>
      <c r="G21" s="23" t="str">
        <v>Matte Sensor Frame</v>
      </c>
      <c r="H21" s="28">
        <v>1.5730337078651597</v>
      </c>
    </row>
    <row r="22" spans="1:8" x14ac:dyDescent="0.4">
      <c r="A22" s="2" t="str">
        <f>'Preliminary Ranking'!BN$1</f>
        <v>Concept 20</v>
      </c>
      <c r="B22" s="2" t="str">
        <f>'Preliminary Ranking'!BN$2</f>
        <v>Matte Sensor Frame</v>
      </c>
      <c r="C22" s="19">
        <f>'Preliminary Ranking'!BO$40</f>
        <v>6.6399999999999988</v>
      </c>
      <c r="D22" s="19">
        <f t="shared" si="0"/>
        <v>1.5730337078651597</v>
      </c>
      <c r="F22" s="23" t="str">
        <v>Concept 16</v>
      </c>
      <c r="G22" s="23" t="str">
        <v>First-surface Mirror</v>
      </c>
      <c r="H22" s="28">
        <v>0.67415730337079205</v>
      </c>
    </row>
    <row r="23" spans="1:8" x14ac:dyDescent="0.4">
      <c r="A23" s="2" t="str">
        <f>'Preliminary Ranking'!BQ$1</f>
        <v>Concept 21</v>
      </c>
      <c r="B23" s="2" t="str">
        <f>'Preliminary Ranking'!BQ$2</f>
        <v>Dirt/Glare Detection</v>
      </c>
      <c r="C23" s="19">
        <f>'Preliminary Ranking'!BR$40</f>
        <v>6.74</v>
      </c>
      <c r="D23" s="19">
        <f t="shared" si="0"/>
        <v>2.1348314606741563</v>
      </c>
      <c r="F23" s="23" t="str">
        <v>Concept 6</v>
      </c>
      <c r="G23" s="23" t="str">
        <v>Ring Light Around Sensor Frame</v>
      </c>
      <c r="H23" s="28">
        <v>0.11235955056178536</v>
      </c>
    </row>
    <row r="24" spans="1:8" x14ac:dyDescent="0.4">
      <c r="A24" s="2" t="str">
        <f>'Preliminary Ranking'!BT$1</f>
        <v>Concept 22</v>
      </c>
      <c r="B24" s="2" t="str">
        <f>'Preliminary Ranking'!BT$2</f>
        <v>Machine Vision Barcode Comparison</v>
      </c>
      <c r="C24" s="19">
        <f>'Preliminary Ranking'!BU$40</f>
        <v>7.84</v>
      </c>
      <c r="D24" s="19">
        <f t="shared" si="0"/>
        <v>8.31460674157303</v>
      </c>
      <c r="F24" s="23" t="str">
        <v>Concept 18</v>
      </c>
      <c r="G24" s="23" t="str">
        <v>Curved Mirror</v>
      </c>
      <c r="H24" s="28">
        <v>0</v>
      </c>
    </row>
  </sheetData>
  <sheetProtection sheet="1" objects="1" scenarios="1"/>
  <mergeCells count="2">
    <mergeCell ref="A1:D1"/>
    <mergeCell ref="F1:H1"/>
  </mergeCells>
  <conditionalFormatting sqref="D3:D24">
    <cfRule type="colorScale" priority="2">
      <colorScale>
        <cfvo type="min"/>
        <cfvo type="max"/>
        <color rgb="FFFCFCFF"/>
        <color rgb="FF63BE7B"/>
      </colorScale>
    </cfRule>
  </conditionalFormatting>
  <conditionalFormatting sqref="H3:H2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Preliminary Ranking</vt:lpstr>
      <vt:lpstr>Overview Preliminary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Luik</dc:creator>
  <cp:lastModifiedBy>Jamie Luik</cp:lastModifiedBy>
  <cp:lastPrinted>2026-05-01T12:31:18Z</cp:lastPrinted>
  <dcterms:created xsi:type="dcterms:W3CDTF">2026-04-28T12:54:23Z</dcterms:created>
  <dcterms:modified xsi:type="dcterms:W3CDTF">2026-06-04T13:58:38Z</dcterms:modified>
</cp:coreProperties>
</file>